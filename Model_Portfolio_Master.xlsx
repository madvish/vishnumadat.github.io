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ttings" sheetId="2" state="visible" r:id="rId4"/>
    <sheet name="securities" sheetId="3" state="visible" r:id="rId5"/>
    <sheet name="transactions" sheetId="4" state="visible" r:id="rId6"/>
    <sheet name="prices" sheetId="5" state="visible" r:id="rId7"/>
    <sheet name="positions" sheetId="6" state="visible" r:id="rId8"/>
    <sheet name="nav" sheetId="7" state="visible" r:id="rId9"/>
    <sheet name="calc" sheetId="8" state="visible" r:id="rId10"/>
    <sheet name="changes" sheetId="9" state="visible" r:id="rId11"/>
    <sheet name="thes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<sst xmlns="http://schemas.openxmlformats.org/spreadsheetml/2006/main" count="1007" uniqueCount="433">
  <si>
    <t xml:space="preserve">MODEL PORTFOLIO - MASTER WORKBOOK</t>
  </si>
  <si>
    <t xml:space="preserve">HOW THIS WORKBOOK IS ORGANISED</t>
  </si>
  <si>
    <t xml:space="preserve">Blue text = you type it. Black = formula. Green = link from another sheet. Never overwrite black/green cells.</t>
  </si>
  <si>
    <t xml:space="preserve">settings      - inception date, starting capital, benchmark (inputs).</t>
  </si>
  <si>
    <t xml:space="preserve">securities    - master list of stocks: ticker, sector, TARGET weight (inputs).</t>
  </si>
  <si>
    <t xml:space="preserve">transactions  - every buy/sell ever made. APPEND ONLY - never edit or delete an old row; add a correcting row instead.</t>
  </si>
  <si>
    <t xml:space="preserve">prices        - one row per update date: closing price of every stock + Nifty 500 level (inputs).</t>
  </si>
  <si>
    <t xml:space="preserve">changes       - public disclosure log: what changed and WHY (inputs). Shown on the website.</t>
  </si>
  <si>
    <t xml:space="preserve">positions / nav / calc - all calculations (formulas). Do not type here.</t>
  </si>
  <si>
    <t xml:space="preserve">theses        - your sector write-ups copied from the original file (text).</t>
  </si>
  <si>
    <t xml:space="preserve">UPDATE ROUTINE (every 1st and 16th, or after any trade)</t>
  </si>
  <si>
    <t xml:space="preserve">1. prices: add ONE new row at the bottom: date + closing price of every stock + Nifty 500 close. Do not edit older rows.</t>
  </si>
  <si>
    <t xml:space="preserve">2. If you traded: add rows in transactions (new change_id) and a matching row in changes with from/to weight and your rationale.</t>
  </si>
  <si>
    <t xml:space="preserve">3. Check calc: weights add up to 100% (incl. cash) and the checks at the top of calc all say OK.</t>
  </si>
  <si>
    <t xml:space="preserve">4. Save the workbook (Excel must save so the values are stored), then run the export script (see export_to_csv.py) to refresh the website data.</t>
  </si>
  <si>
    <t xml:space="preserve">ASSUMPTIONS YOU MUST CONFIRM BEFORE PUBLISHING</t>
  </si>
  <si>
    <t xml:space="preserve">A. Inception date = 20-Mar-2026 (taken from your "Nifty 500 Return from 20th Mar 2026" label). Change in settings if wrong.</t>
  </si>
  <si>
    <t xml:space="preserve">B. All initial positions are treated as bought on the inception date at your Avg. Cost Price. If real purchase dates differed, enter the true dates in transactions.</t>
  </si>
  <si>
    <t xml:space="preserve">C. Starting capital = Rs 1,00,00,000 (your total cost basis was Rs 99,95,812; the Rs 4,188 difference is held as cash).</t>
  </si>
  <si>
    <t xml:space="preserve">D. Target weights = your stock-level targets (they add to 100%). Sector-sheet targets differ in 9 sectors and 3 held sectors have no thesis sheet - see calc, sector table, last column.</t>
  </si>
  <si>
    <t xml:space="preserve">E. Prices dated 15-Oct-2026 are the cached prices from your last save (not verified closes). Replace with official closing prices when you do your next update.</t>
  </si>
  <si>
    <t xml:space="preserve">F. Tickers marked Verify=1 in securities are my best guess (Knowledge Realty Trust, Axis Healthcare ETF, four Vedanta demerged entities). Check against NSE.</t>
  </si>
  <si>
    <t xml:space="preserve">G. Vedanta group target is 2% on the Vedanta Ltd line; the 4 demerged lines carry 0% target, so their individual "active weight" is not meaningful - read the group total.</t>
  </si>
  <si>
    <t xml:space="preserve">H. Returns are price returns (no dividends, costs or taxes). Rebalances should be self-funded; any cash is tracked in the cash line.</t>
  </si>
  <si>
    <t xml:space="preserve">SETTINGS (inputs)</t>
  </si>
  <si>
    <t xml:space="preserve">Inception date</t>
  </si>
  <si>
    <t xml:space="preserve">Assumption A - confirm</t>
  </si>
  <si>
    <t xml:space="preserve">Starting capital (Rs)</t>
  </si>
  <si>
    <t xml:space="preserve">Assumption C - confirm</t>
  </si>
  <si>
    <t xml:space="preserve">Benchmark name</t>
  </si>
  <si>
    <t xml:space="preserve">Nifty 500</t>
  </si>
  <si>
    <t xml:space="preserve">Shown on website</t>
  </si>
  <si>
    <t xml:space="preserve">Currency</t>
  </si>
  <si>
    <t xml:space="preserve">INR</t>
  </si>
  <si>
    <t xml:space="preserve">ticker</t>
  </si>
  <si>
    <t xml:space="preserve">company</t>
  </si>
  <si>
    <t xml:space="preserve">sector</t>
  </si>
  <si>
    <t xml:space="preserve">industry</t>
  </si>
  <si>
    <t xml:space="preserve">target_weight</t>
  </si>
  <si>
    <t xml:space="preserve">yahoo_symbol (for later)</t>
  </si>
  <si>
    <t xml:space="preserve">verify_ticker</t>
  </si>
  <si>
    <t xml:space="preserve">note</t>
  </si>
  <si>
    <t xml:space="preserve">KOTAKBANK</t>
  </si>
  <si>
    <t xml:space="preserve">Kotak Mahindra Bank</t>
  </si>
  <si>
    <t xml:space="preserve">Financial Services</t>
  </si>
  <si>
    <t xml:space="preserve">Bank - Pvt</t>
  </si>
  <si>
    <t xml:space="preserve">KOTAKBANK.NS</t>
  </si>
  <si>
    <t xml:space="preserve">HDFCBANK</t>
  </si>
  <si>
    <t xml:space="preserve">HDFC Bank</t>
  </si>
  <si>
    <t xml:space="preserve">HDFCBANK.NS</t>
  </si>
  <si>
    <t xml:space="preserve">SBIN</t>
  </si>
  <si>
    <t xml:space="preserve">SBI</t>
  </si>
  <si>
    <t xml:space="preserve">Bank - PSU</t>
  </si>
  <si>
    <t xml:space="preserve">SBIN.NS</t>
  </si>
  <si>
    <t xml:space="preserve">MANAPPURAM</t>
  </si>
  <si>
    <t xml:space="preserve">Manappuram Finance</t>
  </si>
  <si>
    <t xml:space="preserve">NBFC - Gold &amp; MFI</t>
  </si>
  <si>
    <t xml:space="preserve">MANAPPURAM.NS</t>
  </si>
  <si>
    <t xml:space="preserve">SHRIRAMFIN</t>
  </si>
  <si>
    <t xml:space="preserve">Shriram Finance</t>
  </si>
  <si>
    <t xml:space="preserve">NBFC - Auto</t>
  </si>
  <si>
    <t xml:space="preserve">SHRIRAMFIN.NS</t>
  </si>
  <si>
    <t xml:space="preserve">RECLTD</t>
  </si>
  <si>
    <t xml:space="preserve">REC Ltd</t>
  </si>
  <si>
    <t xml:space="preserve">NBFC - Power</t>
  </si>
  <si>
    <t xml:space="preserve">RECLTD.NS</t>
  </si>
  <si>
    <t xml:space="preserve">INFY</t>
  </si>
  <si>
    <t xml:space="preserve">Infosys</t>
  </si>
  <si>
    <t xml:space="preserve">Information Technology</t>
  </si>
  <si>
    <t xml:space="preserve">IT</t>
  </si>
  <si>
    <t xml:space="preserve">INFY.NS</t>
  </si>
  <si>
    <t xml:space="preserve">TCS</t>
  </si>
  <si>
    <t xml:space="preserve">TCS.NS</t>
  </si>
  <si>
    <t xml:space="preserve">HCLTECH</t>
  </si>
  <si>
    <t xml:space="preserve">HCL Tech</t>
  </si>
  <si>
    <t xml:space="preserve">HCLTECH.NS</t>
  </si>
  <si>
    <t xml:space="preserve">NTPC</t>
  </si>
  <si>
    <t xml:space="preserve">Power</t>
  </si>
  <si>
    <t xml:space="preserve">Thermal Power generation</t>
  </si>
  <si>
    <t xml:space="preserve">NTPC.NS</t>
  </si>
  <si>
    <t xml:space="preserve">TATAPOWER</t>
  </si>
  <si>
    <t xml:space="preserve">Tata Power</t>
  </si>
  <si>
    <t xml:space="preserve">T&amp;D, Generation - diversified</t>
  </si>
  <si>
    <t xml:space="preserve">TATAPOWER.NS</t>
  </si>
  <si>
    <t xml:space="preserve">IEX</t>
  </si>
  <si>
    <t xml:space="preserve">Power Exchange</t>
  </si>
  <si>
    <t xml:space="preserve">IEX.NS</t>
  </si>
  <si>
    <t xml:space="preserve">LODHA</t>
  </si>
  <si>
    <t xml:space="preserve">Lodha Developers</t>
  </si>
  <si>
    <t xml:space="preserve">Realty</t>
  </si>
  <si>
    <t xml:space="preserve">Retail &amp; Commercial developer</t>
  </si>
  <si>
    <t xml:space="preserve">LODHA.NS</t>
  </si>
  <si>
    <t xml:space="preserve">KRT</t>
  </si>
  <si>
    <t xml:space="preserve">REITs (Knowledge Realty Trust)</t>
  </si>
  <si>
    <t xml:space="preserve">REIT</t>
  </si>
  <si>
    <t xml:space="preserve">WEWORK</t>
  </si>
  <si>
    <t xml:space="preserve">Wework India</t>
  </si>
  <si>
    <t xml:space="preserve">Services</t>
  </si>
  <si>
    <t xml:space="preserve">Workplace Services</t>
  </si>
  <si>
    <t xml:space="preserve">WEWORK.NS</t>
  </si>
  <si>
    <t xml:space="preserve">ADANIPORTS</t>
  </si>
  <si>
    <t xml:space="preserve">Adani Ports</t>
  </si>
  <si>
    <t xml:space="preserve">Ports</t>
  </si>
  <si>
    <t xml:space="preserve">ADANIPORTS.NS</t>
  </si>
  <si>
    <t xml:space="preserve">WAAREEENER</t>
  </si>
  <si>
    <t xml:space="preserve">Waaree Energies</t>
  </si>
  <si>
    <t xml:space="preserve">Capital Goods</t>
  </si>
  <si>
    <t xml:space="preserve">Solar manufacturing</t>
  </si>
  <si>
    <t xml:space="preserve">WAAREEENER.NS</t>
  </si>
  <si>
    <t xml:space="preserve">LEMONTREE</t>
  </si>
  <si>
    <t xml:space="preserve">Lemontree Hotels</t>
  </si>
  <si>
    <t xml:space="preserve">Consumer Services</t>
  </si>
  <si>
    <t xml:space="preserve">Hotels</t>
  </si>
  <si>
    <t xml:space="preserve">LEMONTREE.NS</t>
  </si>
  <si>
    <t xml:space="preserve">INDHOTEL</t>
  </si>
  <si>
    <t xml:space="preserve">Indian Hotels</t>
  </si>
  <si>
    <t xml:space="preserve">INDHOTEL.NS</t>
  </si>
  <si>
    <t xml:space="preserve">ETERNAL</t>
  </si>
  <si>
    <t xml:space="preserve">Eternal (Zomato)</t>
  </si>
  <si>
    <t xml:space="preserve">Q - Commerce</t>
  </si>
  <si>
    <t xml:space="preserve">ETERNAL.NS</t>
  </si>
  <si>
    <t xml:space="preserve">BHARTIARTL</t>
  </si>
  <si>
    <t xml:space="preserve">Bharti Airtel</t>
  </si>
  <si>
    <t xml:space="preserve">Telecommunication</t>
  </si>
  <si>
    <t xml:space="preserve">Telecom</t>
  </si>
  <si>
    <t xml:space="preserve">BHARTIARTL.NS</t>
  </si>
  <si>
    <t xml:space="preserve">AXISHEALTH</t>
  </si>
  <si>
    <t xml:space="preserve">Axis Nifty Healthcare ETF</t>
  </si>
  <si>
    <t xml:space="preserve">Healthcare</t>
  </si>
  <si>
    <t xml:space="preserve">Healthcare diversified</t>
  </si>
  <si>
    <t xml:space="preserve">TITAN</t>
  </si>
  <si>
    <t xml:space="preserve">Titan</t>
  </si>
  <si>
    <t xml:space="preserve">Consumer Durables</t>
  </si>
  <si>
    <t xml:space="preserve">Jewellery &amp; Watches</t>
  </si>
  <si>
    <t xml:space="preserve">TITAN.NS</t>
  </si>
  <si>
    <t xml:space="preserve">ITC</t>
  </si>
  <si>
    <t xml:space="preserve">ITC Ltd</t>
  </si>
  <si>
    <t xml:space="preserve">Fast Moving Consumer Goods</t>
  </si>
  <si>
    <t xml:space="preserve">Cigarettes, FMCG &amp; Paper</t>
  </si>
  <si>
    <t xml:space="preserve">ITC.NS</t>
  </si>
  <si>
    <t xml:space="preserve">FIEMIND</t>
  </si>
  <si>
    <t xml:space="preserve">Fiem Industries</t>
  </si>
  <si>
    <t xml:space="preserve">Automobile and Auto Components</t>
  </si>
  <si>
    <t xml:space="preserve">Auto ancilliary</t>
  </si>
  <si>
    <t xml:space="preserve">FIEMIND.NS</t>
  </si>
  <si>
    <t xml:space="preserve">FORCEMOT</t>
  </si>
  <si>
    <t xml:space="preserve">Force Motors</t>
  </si>
  <si>
    <t xml:space="preserve">4W Auto HCV</t>
  </si>
  <si>
    <t xml:space="preserve">FORCEMOT.NS</t>
  </si>
  <si>
    <t xml:space="preserve">EICHERMOT</t>
  </si>
  <si>
    <t xml:space="preserve">Eicher Motors</t>
  </si>
  <si>
    <t xml:space="preserve">2W Auto &amp; HCV</t>
  </si>
  <si>
    <t xml:space="preserve">EICHERMOT.NS</t>
  </si>
  <si>
    <t xml:space="preserve">M&amp;M</t>
  </si>
  <si>
    <t xml:space="preserve">Mahindra &amp; Mahindra</t>
  </si>
  <si>
    <t xml:space="preserve">4W Auto LCV</t>
  </si>
  <si>
    <t xml:space="preserve">M&amp;M.NS</t>
  </si>
  <si>
    <t xml:space="preserve">AMBUJACEM</t>
  </si>
  <si>
    <t xml:space="preserve">Ambuja Cements</t>
  </si>
  <si>
    <t xml:space="preserve">Construction Materials</t>
  </si>
  <si>
    <t xml:space="preserve">Cement</t>
  </si>
  <si>
    <t xml:space="preserve">AMBUJACEM.NS</t>
  </si>
  <si>
    <t xml:space="preserve">LT</t>
  </si>
  <si>
    <t xml:space="preserve">Larsen &amp; Toubro</t>
  </si>
  <si>
    <t xml:space="preserve">Construction</t>
  </si>
  <si>
    <t xml:space="preserve">Construction - Diversified</t>
  </si>
  <si>
    <t xml:space="preserve">LT.NS</t>
  </si>
  <si>
    <t xml:space="preserve">VEDL</t>
  </si>
  <si>
    <t xml:space="preserve">Vedanta Ltd</t>
  </si>
  <si>
    <t xml:space="preserve">Metals &amp; Mining</t>
  </si>
  <si>
    <t xml:space="preserve">Explortion, Extracting and Processing</t>
  </si>
  <si>
    <t xml:space="preserve">VEDL.NS</t>
  </si>
  <si>
    <t xml:space="preserve">Original cost Rs 672.5/share pre-demerger; cost split across Vedanta Ltd and the four demerged entities (336.25 + 4 x 84.0625).</t>
  </si>
  <si>
    <t xml:space="preserve">VEDL-AL</t>
  </si>
  <si>
    <t xml:space="preserve">Vedanta Aluminium Metal</t>
  </si>
  <si>
    <t xml:space="preserve">Vedanta demerged entity</t>
  </si>
  <si>
    <t xml:space="preserve">Demerged entity; share of original Vedanta cost. Group target (2%) sits on Vedanta Ltd line.</t>
  </si>
  <si>
    <t xml:space="preserve">VEDL-PWR</t>
  </si>
  <si>
    <t xml:space="preserve">Talwandi Sabo Power (Vedanta Power)</t>
  </si>
  <si>
    <t xml:space="preserve">VEDL-OG</t>
  </si>
  <si>
    <t xml:space="preserve">Vedanta oil &amp; gas</t>
  </si>
  <si>
    <t xml:space="preserve">VEDL-IS</t>
  </si>
  <si>
    <t xml:space="preserve">Vedanta Iron &amp; Steel</t>
  </si>
  <si>
    <t xml:space="preserve">Total target</t>
  </si>
  <si>
    <t xml:space="preserve">txn_id</t>
  </si>
  <si>
    <t xml:space="preserve">date</t>
  </si>
  <si>
    <t xml:space="preserve">action (BUY/SELL)</t>
  </si>
  <si>
    <t xml:space="preserve">qty</t>
  </si>
  <si>
    <t xml:space="preserve">price</t>
  </si>
  <si>
    <t xml:space="preserve">change_id</t>
  </si>
  <si>
    <t xml:space="preserve">signed_qty</t>
  </si>
  <si>
    <t xml:space="preserve">signed_value</t>
  </si>
  <si>
    <t xml:space="preserve">T001</t>
  </si>
  <si>
    <t xml:space="preserve">BUY</t>
  </si>
  <si>
    <t xml:space="preserve">INIT-001</t>
  </si>
  <si>
    <t xml:space="preserve">Initial model portfolio construction (date assumed = inception)</t>
  </si>
  <si>
    <t xml:space="preserve">T002</t>
  </si>
  <si>
    <t xml:space="preserve">INIT-002</t>
  </si>
  <si>
    <t xml:space="preserve">T003</t>
  </si>
  <si>
    <t xml:space="preserve">INIT-003</t>
  </si>
  <si>
    <t xml:space="preserve">T004</t>
  </si>
  <si>
    <t xml:space="preserve">INIT-004</t>
  </si>
  <si>
    <t xml:space="preserve">T005</t>
  </si>
  <si>
    <t xml:space="preserve">INIT-005</t>
  </si>
  <si>
    <t xml:space="preserve">T006</t>
  </si>
  <si>
    <t xml:space="preserve">INIT-006</t>
  </si>
  <si>
    <t xml:space="preserve">T007</t>
  </si>
  <si>
    <t xml:space="preserve">INIT-007</t>
  </si>
  <si>
    <t xml:space="preserve">T008</t>
  </si>
  <si>
    <t xml:space="preserve">INIT-008</t>
  </si>
  <si>
    <t xml:space="preserve">T009</t>
  </si>
  <si>
    <t xml:space="preserve">INIT-009</t>
  </si>
  <si>
    <t xml:space="preserve">T010</t>
  </si>
  <si>
    <t xml:space="preserve">INIT-010</t>
  </si>
  <si>
    <t xml:space="preserve">T011</t>
  </si>
  <si>
    <t xml:space="preserve">INIT-011</t>
  </si>
  <si>
    <t xml:space="preserve">T012</t>
  </si>
  <si>
    <t xml:space="preserve">INIT-012</t>
  </si>
  <si>
    <t xml:space="preserve">T013</t>
  </si>
  <si>
    <t xml:space="preserve">INIT-013</t>
  </si>
  <si>
    <t xml:space="preserve">T014</t>
  </si>
  <si>
    <t xml:space="preserve">INIT-014</t>
  </si>
  <si>
    <t xml:space="preserve">T015</t>
  </si>
  <si>
    <t xml:space="preserve">INIT-015</t>
  </si>
  <si>
    <t xml:space="preserve">T016</t>
  </si>
  <si>
    <t xml:space="preserve">INIT-016</t>
  </si>
  <si>
    <t xml:space="preserve">T017</t>
  </si>
  <si>
    <t xml:space="preserve">INIT-017</t>
  </si>
  <si>
    <t xml:space="preserve">T018</t>
  </si>
  <si>
    <t xml:space="preserve">INIT-018</t>
  </si>
  <si>
    <t xml:space="preserve">T019</t>
  </si>
  <si>
    <t xml:space="preserve">INIT-019</t>
  </si>
  <si>
    <t xml:space="preserve">T020</t>
  </si>
  <si>
    <t xml:space="preserve">INIT-020</t>
  </si>
  <si>
    <t xml:space="preserve">T021</t>
  </si>
  <si>
    <t xml:space="preserve">INIT-021</t>
  </si>
  <si>
    <t xml:space="preserve">T022</t>
  </si>
  <si>
    <t xml:space="preserve">INIT-022</t>
  </si>
  <si>
    <t xml:space="preserve">T023</t>
  </si>
  <si>
    <t xml:space="preserve">INIT-023</t>
  </si>
  <si>
    <t xml:space="preserve">T024</t>
  </si>
  <si>
    <t xml:space="preserve">INIT-024</t>
  </si>
  <si>
    <t xml:space="preserve">T025</t>
  </si>
  <si>
    <t xml:space="preserve">INIT-025</t>
  </si>
  <si>
    <t xml:space="preserve">T026</t>
  </si>
  <si>
    <t xml:space="preserve">INIT-026</t>
  </si>
  <si>
    <t xml:space="preserve">T027</t>
  </si>
  <si>
    <t xml:space="preserve">INIT-027</t>
  </si>
  <si>
    <t xml:space="preserve">T028</t>
  </si>
  <si>
    <t xml:space="preserve">INIT-028</t>
  </si>
  <si>
    <t xml:space="preserve">T029</t>
  </si>
  <si>
    <t xml:space="preserve">INIT-029</t>
  </si>
  <si>
    <t xml:space="preserve">T030</t>
  </si>
  <si>
    <t xml:space="preserve">INIT-030</t>
  </si>
  <si>
    <t xml:space="preserve">T031</t>
  </si>
  <si>
    <t xml:space="preserve">INIT-031</t>
  </si>
  <si>
    <t xml:space="preserve">T032</t>
  </si>
  <si>
    <t xml:space="preserve">INIT-032</t>
  </si>
  <si>
    <t xml:space="preserve">T033</t>
  </si>
  <si>
    <t xml:space="preserve">INIT-033</t>
  </si>
  <si>
    <t xml:space="preserve">T034</t>
  </si>
  <si>
    <t xml:space="preserve">INIT-034</t>
  </si>
  <si>
    <t xml:space="preserve">T035</t>
  </si>
  <si>
    <t xml:space="preserve">INIT-035</t>
  </si>
  <si>
    <t xml:space="preserve">NIFTY500</t>
  </si>
  <si>
    <t xml:space="preserve">Row 2 = inception (stock prices = your avg. cost; Nifty = 21,327.9 from your file). Row 3 = cached prices from your last save on 15-Oct-2026. Add each new update date as a new row below (max 60 rows).</t>
  </si>
  <si>
    <t xml:space="preserve">holdings_value</t>
  </si>
  <si>
    <t xml:space="preserve">cash</t>
  </si>
  <si>
    <t xml:space="preserve">nav_value</t>
  </si>
  <si>
    <t xml:space="preserve">portfolio_index</t>
  </si>
  <si>
    <t xml:space="preserve">nifty500_level</t>
  </si>
  <si>
    <t xml:space="preserve">benchmark_index</t>
  </si>
  <si>
    <t xml:space="preserve">alpha_pp</t>
  </si>
  <si>
    <t xml:space="preserve">drawdown</t>
  </si>
  <si>
    <t xml:space="preserve">CALCULATIONS (formulas only - do not type here)</t>
  </si>
  <si>
    <t xml:space="preserve">SUMMARY</t>
  </si>
  <si>
    <t xml:space="preserve">As-of date</t>
  </si>
  <si>
    <t xml:space="preserve">CHECKS</t>
  </si>
  <si>
    <t xml:space="preserve">Weights incl. cash = 100%</t>
  </si>
  <si>
    <t xml:space="preserve">Days since inception</t>
  </si>
  <si>
    <t xml:space="preserve">Target weights = 100%</t>
  </si>
  <si>
    <t xml:space="preserve">Every ticker has a price</t>
  </si>
  <si>
    <t xml:space="preserve">Current NAV (Rs)</t>
  </si>
  <si>
    <t xml:space="preserve">No negative quantities</t>
  </si>
  <si>
    <t xml:space="preserve">Portfolio return since inception</t>
  </si>
  <si>
    <t xml:space="preserve">Nifty 500 at inception</t>
  </si>
  <si>
    <t xml:space="preserve">Nifty 500 at as-of date</t>
  </si>
  <si>
    <t xml:space="preserve">Benchmark return since inception</t>
  </si>
  <si>
    <t xml:space="preserve">Alpha since inception (pp)</t>
  </si>
  <si>
    <t xml:space="preserve">Portfolio annualised (only after 1 yr)</t>
  </si>
  <si>
    <t xml:space="preserve">Benchmark annualised (only after 1 yr)</t>
  </si>
  <si>
    <t xml:space="preserve">Max drawdown (on recorded dates)</t>
  </si>
  <si>
    <t xml:space="preserve">Cash (Rs)</t>
  </si>
  <si>
    <t xml:space="preserve">Number of positions</t>
  </si>
  <si>
    <t xml:space="preserve">#</t>
  </si>
  <si>
    <t xml:space="preserve">Company</t>
  </si>
  <si>
    <t xml:space="preserve">Ticker</t>
  </si>
  <si>
    <t xml:space="preserve">Sector</t>
  </si>
  <si>
    <t xml:space="preserve">Industry</t>
  </si>
  <si>
    <t xml:space="preserve">Qty</t>
  </si>
  <si>
    <t xml:space="preserve">Avg cost (Rs)</t>
  </si>
  <si>
    <t xml:space="preserve">Cost basis (Rs)</t>
  </si>
  <si>
    <t xml:space="preserve">Last price (Rs)</t>
  </si>
  <si>
    <t xml:space="preserve">Value (Rs)</t>
  </si>
  <si>
    <t xml:space="preserve">P&amp;L (Rs)</t>
  </si>
  <si>
    <t xml:space="preserve">P&amp;L %</t>
  </si>
  <si>
    <t xml:space="preserve">Weight</t>
  </si>
  <si>
    <t xml:space="preserve">Target weight</t>
  </si>
  <si>
    <t xml:space="preserve">Active weight</t>
  </si>
  <si>
    <t xml:space="preserve">Contribution to return</t>
  </si>
  <si>
    <t xml:space="preserve">TOTAL HOLDINGS</t>
  </si>
  <si>
    <t xml:space="preserve">CASH</t>
  </si>
  <si>
    <t xml:space="preserve">NAV</t>
  </si>
  <si>
    <t xml:space="preserve">SECTOR VIEW</t>
  </si>
  <si>
    <t xml:space="preserve">Sector return</t>
  </si>
  <si>
    <t xml:space="preserve">Target (from stocks)</t>
  </si>
  <si>
    <t xml:space="preserve">Target on thesis sheet</t>
  </si>
  <si>
    <t xml:space="preserve">Gap vs thesis sheet</t>
  </si>
  <si>
    <t xml:space="preserve">TOTAL</t>
  </si>
  <si>
    <t xml:space="preserve">Thesis-sheet targets (col I) are typed from your original sector sheets. They add to 100% without Consumer Durables, FMCG and Construction, which you hold but have no thesis sheet for.</t>
  </si>
  <si>
    <t xml:space="preserve">action</t>
  </si>
  <si>
    <t xml:space="preserve">from_weight_pct</t>
  </si>
  <si>
    <t xml:space="preserve">to_weight_pct</t>
  </si>
  <si>
    <t xml:space="preserve">rationale</t>
  </si>
  <si>
    <t xml:space="preserve">INITIAL BUY</t>
  </si>
  <si>
    <t xml:space="preserve">Initial model portfolio construction. Sector thesis: Financial Services (see Theses).</t>
  </si>
  <si>
    <t xml:space="preserve">Initial model portfolio construction. Sector thesis: Information Technology (see Theses).</t>
  </si>
  <si>
    <t xml:space="preserve">Initial model portfolio construction. Sector thesis: Power (see Theses).</t>
  </si>
  <si>
    <t xml:space="preserve">Initial model portfolio construction. Sector thesis: Realty (see Theses).</t>
  </si>
  <si>
    <t xml:space="preserve">Initial model portfolio construction. Sector thesis: Services (see Theses).</t>
  </si>
  <si>
    <t xml:space="preserve">Initial model portfolio construction. Sector thesis: Capital Goods (see Theses).</t>
  </si>
  <si>
    <t xml:space="preserve">Initial model portfolio construction. Sector thesis: Consumer Services (see Theses).</t>
  </si>
  <si>
    <t xml:space="preserve">Initial model portfolio construction. Sector thesis: Telecommunication (see Theses).</t>
  </si>
  <si>
    <t xml:space="preserve">Initial model portfolio construction. Sector thesis: Healthcare (see Theses).</t>
  </si>
  <si>
    <t xml:space="preserve">Initial model portfolio construction. Sector thesis: Consumer Durables (see Theses).</t>
  </si>
  <si>
    <t xml:space="preserve">Initial model portfolio construction. Sector thesis: Fast Moving Consumer Goods (see Theses).</t>
  </si>
  <si>
    <t xml:space="preserve">Initial model portfolio construction. Sector thesis: Automobile and Auto Components (see Theses).</t>
  </si>
  <si>
    <t xml:space="preserve">Initial model portfolio construction. Sector thesis: Construction Materials (see Theses).</t>
  </si>
  <si>
    <t xml:space="preserve">Initial model portfolio construction. Sector thesis: Construction (see Theses).</t>
  </si>
  <si>
    <t xml:space="preserve">Initial model portfolio construction. Sector thesis: Metals &amp; Mining (see Theses).</t>
  </si>
  <si>
    <t xml:space="preserve">sector_sheet</t>
  </si>
  <si>
    <t xml:space="preserve">thesis_date</t>
  </si>
  <si>
    <t xml:space="preserve">section</t>
  </si>
  <si>
    <t xml:space="preserve">text</t>
  </si>
  <si>
    <t xml:space="preserve">Financial services</t>
  </si>
  <si>
    <t xml:space="preserve">Rationale for Sector weight</t>
  </si>
  <si>
    <t xml:space="preserve">Favour of Credit Growth: The RBI's 125bps repo rate reduction through CY2025 marks the most aggressive easing cycle India has seen since the COVID response, bringing the benchmark rate to 5.25%. Simultaneously, the 100bps CRR cut to 3% released approximately ₹2.5 lakh crore of durable liquidity into the banking system, directly expanding the lendable resource base for banks and NBFCs. 
Moreover, GST 2.0's simplification from a four-tier to a two-tier structure increases effective household disposable income, particularly in the consumption-heavy middle class, directly translating into higher credit absorption capacity. The combination of monetary easing and fiscal rationalisation is boosting credit, and financial intermediaries are the primary beneficiaries.</t>
  </si>
  <si>
    <t xml:space="preserve">Sub-Themes:
Microfinance: the sector endured a sharp asset quality deterioration through FY25 driven by borrower over-leveraging and collection breakdowns, but as of early 2026 PAR metrics are moderating and new disbursements are performing materially better under tighter regulatory guardrails (₹2 lakh borrower cap, three-lender limit). 
In gold loans: record domestic gold prices have expanded loan eligibility under the 75% LTV cap, driving gold loan AUM up 42% YoY to ₹15.6 trillion — a structural tailwind for Muthoot, Manappuram, and bank-run gold loan portfolios. 
Vehicle finance: the GST restructuring on automobiles drove a 20% YoY volume surge in late 2025, directly expanding auto loan origination pipelines. 
Housing finance: 2 years of volume consolidation driven by affordability fatigue is expected to reverse as the 125bps rate cut meaningfully reduces EMI burden on ₹50–80 lakh ticket-size buyers who were the most rate-sensitive. 
Business loan: India's formalising SME and startup ecosystem continues to structurally drive working capital and business loan demand, particularly in Tier II/III cities with limited institutional credit penetration. </t>
  </si>
  <si>
    <t xml:space="preserve">Valuations:
Large-cap private banks and select NBFCs are trading at valuations of the prior stress cycle (covid), offering a nice entry point with favourable valuation cushion.</t>
  </si>
  <si>
    <t xml:space="preserve">Risks (what could go wrong)</t>
  </si>
  <si>
    <t xml:space="preserve">El Niño / Monsoon Risk: Multiple meteorological agencies including Skymet, IMD, and WMO are flagging an evolving El Niño with ~60% probability of below-normal monsoon from June 2026 onwards; historically, weak monsoons compress rural incomes, delay agricultural loan repayments, and elevate stress in kisan credit card portfolios and MFI books concentrated in rain-dependent geographies</t>
  </si>
  <si>
    <t xml:space="preserve">Inflationary Reversal / Rate Risk: Sustained geopolitical tensions in energy markets could push crude prices higher, spill into domestic CPI via fuel and transport costs, and force a hike in RBI REPO rates, compressing NIMs across the sector</t>
  </si>
  <si>
    <t xml:space="preserve">Deposit Stress: Rising SIP inflows — now running at record monthly levels above ~₹25,000 crore — reflect a structural shift in household savings away from bank fixed deposits and into equity mutual funds; this reduces the low-cost, stable deposit base that banks have historically relied upon to fund credit growth, and if the trend accelerates, it could tighten the liability side of bank balance sheets even as loan demand picks up, compressing the credit-deposit ratio and pressuring funding costs.</t>
  </si>
  <si>
    <t xml:space="preserve">Target Weight</t>
  </si>
  <si>
    <t xml:space="preserve">34.0%</t>
  </si>
  <si>
    <t xml:space="preserve">IT companies fell due to 'AI will replace humans' narrative. IT sector, hugely dependent on humans to design and develop softaware (write codes), felt business contraction risk with investors lowering the terminal growth rate assumptions. This triggered broad-based selling across IT stocks. I view this as fear-driven selling, because over the long run, IT companies stand to benefit — provided they successfully pivot train people for prompt engineering and Agentic AI innovation.</t>
  </si>
  <si>
    <t xml:space="preserve">AI, no doubt, is going to stay here and disrupt tarditional workflows and tasks. Recalling the 'Dot-com' bubble, technology stays, but the companies boasting about their tech-led product may not. A similar situation may occur with AI. AI capex by big U.S. tech comapnies is now bigger than all countries' military spend(ex. U.S) at $424 bn (~₹40L crs), increasing at 32% CAGR for 6 yrs. To maintain their lead in the AI race, U.S. hyperscalers are deploying significant free cash flows and taking on debt — yet return visibility on these investments remains limited.</t>
  </si>
  <si>
    <t xml:space="preserve">On the flows side, FIIs have net sold $32.7 billion in Indian equities since October 2024, rotating into undervalued emerging markets and AI-theme plays globally. However, when earnings visibility in those bets deteriorates, India could see a reversal of these outflows.</t>
  </si>
  <si>
    <t xml:space="preserve">From a technical standpoint, the IT sector has corrected ~35% over 15 months. Historically, 30–50% drawdowns have been followed by average forward returns exceeding 50%, with a 92% probability of positive returns over a two-year horizon(A DSP MF study). The sector currently sits in oversold territory (14-day RSI below 20) and appears fairly to slightly undervalued on fundamental metrics. Notably, promoter buying has been observed in select IT names — a constructive signal.</t>
  </si>
  <si>
    <t xml:space="preserve">Indian IT revenues are USD-denominated but costs are INR-denominated. Any INR appreciation would compress margins further.</t>
  </si>
  <si>
    <t xml:space="preserve">IT companies are entering in collaborations with U.S. AI companies. If these U.S. capex-heavy companies faces pressure from investors, It can have ripple effects on Indian IT comapanies.</t>
  </si>
  <si>
    <t xml:space="preserve">Timing the 'reverse AI' action.</t>
  </si>
  <si>
    <t xml:space="preserve">9.0%</t>
  </si>
  <si>
    <t xml:space="preserve">Phasing</t>
  </si>
  <si>
    <t xml:space="preserve">To time the change in sentiment on Indian IT sector (from brearish to bullish) is difficult. This will happen when the sales and earnings growth increases with a huge surprise.</t>
  </si>
  <si>
    <t xml:space="preserve">So, Phasing can be done in the following 5 stages of 20% each:
1. Nifty near 23200 with Iran war descalating.
2. QoQ results come with surprise and management comentary is bullish.
3. Nifty IT forming bullish price action on charts.
4. FIIs has net inflows in IT sector over a quarter.
5. Another QoQ surprise </t>
  </si>
  <si>
    <t xml:space="preserve">Power / Energy</t>
  </si>
  <si>
    <t xml:space="preserve">What keeps Digital India running is electricity. Demand growth is driven by multiple factors: 
1. Rising temperatures pushing AC penetration (India at ~10% vs. 60%+ in China vs. 90%+ in developed economies)
2. EV adoption demanding more electricity consumption.
3. India is a top-3 market for the hyperscalers like OpenAI/Microsoft/Google, and announced data center investments total ~$77 billion through 2030, with power demand from Indian data centers projected to grow at a 33% CAGR through 2030. 
4. Industrial and Manufacturing activity under PLI schemes and China +1 strategy adds to the demand.
FY26 saw power demand decline ~0.7% due to the La Niña (weather condition with prolonged rain and winter) — a one-off, not a structural reversal. Recovery to ~5%  demand growth is expected from May 2026 onward on a very supportive base, aligning with India's medium-term 1x real GDP growth multiplier for power demand (Bernstein report).</t>
  </si>
  <si>
    <t xml:space="preserve">India is adding capacity across all methods of power generation. On renewables, India added a record ~55 GW in FY26, though additions are expected to moderate to ~35 GW in FY27 as grid constraints and slow tendering bite. 
The SHANTI Bill (nuclear energy) will allow private sector participation and remove recourse on equipment suppliers. NTPC has already issued a global expression of interest for ~15 GW of large PWR nuclear plants. 
BESS(Battery Energy Storage Solution) is finally transitioning from tendering (~31 GWh tendered) to commissioning — ~6 GW is expected to come online in CY26, which is the critical swing factor determining whether peak shortages persist or ease. 
Thermal is seeing a quiet revival, with ~13 GW of state tenders expected and even renewable-heavy states like Gujarat tendering thermal capacity. Crucially, no meaningful surplus is expected before FY31 — the demand-supply equation stays tight, which is constructive for generators.</t>
  </si>
  <si>
    <t xml:space="preserve">The market significantly overpaid for the renewable transition story (RE stocks trading @60-70x P/E). The constraint is simple but widely ignored: Renewable energy is variable; the grid is not (demand, supply, and frequency should match at each point in time. Or the grid collapses). 
Solar generates power only during daylight hours, wind is intermittent — neither can be dispatched on demand. This creates the "duck curve" problem where solar floods midday supply (while thermal plants slows down their turbines), suppresses prices, then drops to zero at peak evening demand, forcing thermal to ramp rapidly. 
Thermal plants cannot simply be switched off and on — cold starts take 6–12 hours, and cycling causes mechanical wear and fuel inefficiency, meaning thermal turbines must be kept spinning even at RE peak. Curtailment hit a new high of ~1,000 MU in October 2025 alone — paradoxically, not because of too much power, but because transmission networks cannot evacuate RE fast enough. Transmission target for FY26 was revised down from 24,000 ckm to 15,400 ckm and even that is running at 44% achievement. 
The practical implication is that India needs RE and thermal and storage to run a stable grid — this is not an either/or story, and any portfolio concentrated purely in RE names is exposed to curtailment risk, transmission delays, and margin compression from an impending solar PV cell supply.</t>
  </si>
  <si>
    <t xml:space="preserve">Given this complexity, a diversified basket across the energy value chain is the most appropriate way to position. Generators with diversified mix (NTPC — thermal + nuclear optionality + renewables, trading at 13-14x P/E vs. global peer median of 17x, a clear discount). 
Transmission infrastructure (Power Grid Corp — multi-year transmission capex cycle, cost+ asset base with near-perpetual 16-17% ROE, and BESS opportunity leveraging its large substation footprint, though near-term capitalization challenges warrant patience). 
Power financiers (PFC &amp; REC — trading at ~1x P/B and ~5x forward P/E with &gt;20% ROE and clean asset quality.  
Power exchanges (IEX — a long-term structural beneficiary as RE variability increases spot trading volumes, though regulatory overhang from market coupling and potential transaction fee reduction warrants caution near-term; a position sized for the long-term optionality rather than near-term re-rating).</t>
  </si>
  <si>
    <t xml:space="preserve">DISCOM bailout is the key risk to monitor as DISCOMs constitute ~40% of PFC/REC loan books.</t>
  </si>
  <si>
    <t xml:space="preserve">Risk of accidents in nuclear power plants.</t>
  </si>
  <si>
    <t xml:space="preserve">Supply chain risk for thermal power plants (coal &amp; natural gas)</t>
  </si>
  <si>
    <t xml:space="preserve">RE overcapacity suppressing merchant prices.</t>
  </si>
  <si>
    <t xml:space="preserve">Nuclear execution timelines stretching beyond market expectations.</t>
  </si>
  <si>
    <t xml:space="preserve">7.0%</t>
  </si>
  <si>
    <t xml:space="preserve">Price action and fundamental of the overall power sector looks favourable for entry.</t>
  </si>
  <si>
    <t xml:space="preserve">1. Buy 50% of the position now.
2. 50% when the Iran war de-escalates and the sector is trading @lower price.</t>
  </si>
  <si>
    <t xml:space="preserve">Real Estate</t>
  </si>
  <si>
    <t xml:space="preserve">The RBI's 125bps repo rate reduction through CY2025 is the most important macro catalyst for Indian real estate. For every 100bps decline in home loan rates, EMI burden on a ₹50 lakh, 20-year mortgage falls by approximately ₹3,000/month. Along with this, GST 2.0 further expands household disposable income, materially improving affordability for mid-income buyers who had been sitting on the sidelines through the high-rate CY2022–24 period.</t>
  </si>
  <si>
    <t xml:space="preserve">India’s commercial real estate market witnessed broad-based buoyancy across office, retail, data centres and logistics. Office absorption across the top eight cities is estimated to exceed 59 MSF, while warehousing and industrial leasing is expected to cross 50 MSF for the third consecutive year - underscoring the sector’s structural growth story. Retail leasing gained traction across prime high streets and malls, while the residential market continued its shift towards lifestyle upgrades, with strong demand for premium and luxury housing.</t>
  </si>
  <si>
    <t xml:space="preserve">Nifty Realty index corrected ~40%, and realty stocks are now trading at pre-covid valuations (lower than 5yr median TTM PE). A mix of realty stocks(capital appreciation) and REITs(capital appreciation + huge dividends) make a strong allocation to Realty sector, </t>
  </si>
  <si>
    <t xml:space="preserve">REITs and Institutional Capital Are Re-Rating the Sector. Indian REITs delivered low-to-mid 30% returns in 2025 versus negative NIFTY Realty and ~10% NIFTY 50. SEBI's January 2026 reclassification of REITs as equity opens up large passive and active fund flows. Institutional investment into real estate is set to exceed USD 7 billion in 2025, with data centres — now tracking 220 MW of 2026 supply — emerging as a mainstream alternative asset class alongside office.</t>
  </si>
  <si>
    <t xml:space="preserve">If interest rates increases, then affordability to buy a home decreases, reducing demand and sales.</t>
  </si>
  <si>
    <t xml:space="preserve">Demand from NRIs may reduce if new professionals face visa rejections from high earning countries.</t>
  </si>
  <si>
    <t xml:space="preserve">Office supply catchup becoming a vacancy risk if IT/GCC demand softens.</t>
  </si>
  <si>
    <t xml:space="preserve">6.0%</t>
  </si>
  <si>
    <t xml:space="preserve">Invest in commercial REITs now (since they arein momentum despite all uncertainities)</t>
  </si>
  <si>
    <t xml:space="preserve">Phase investments in individual stocks. Wait for the prive consolidation and making of strong base to launch the next rally.
Deploy 60% now, and remaining after bullish price action.</t>
  </si>
  <si>
    <t xml:space="preserve">Services (Ports)</t>
  </si>
  <si>
    <t xml:space="preserve">India's port infrastructure is a direct, leveraged play on the country's $1tn export target by 2030 and the ongoing China+1 supply chain reconfiguration that is routing manufacturing and trade flows through India. Private port operators, particularly those with pan-India presence across both coasts, are structurally advantaged as cargo volumes increase and pricing power coming to scale players with deeper draft, better hinterland connectivity, and SEZ integration.</t>
  </si>
  <si>
    <t xml:space="preserve">Private port operators are now moving beyond pure cargo handling into end-to-end logistics — inland container depots, cold chains, last-mile warehousing, etc. This vertical integration expands revenue per tonne and creates switching costs for large cargo clients.</t>
  </si>
  <si>
    <t xml:space="preserve">Governance &amp; Regulatory Risk: Concentrated ownership structures and government counterparty dependence in port concession agreements create regulatory risk — any change in concession terms, tariff caps, or port connectivity policy could impair project economics.</t>
  </si>
  <si>
    <t xml:space="preserve">Global Trade Slowdown: A sharper-than-expected US or China slowdown would compress global trade volumes and reduce cargo throughput growth below current assumptions </t>
  </si>
  <si>
    <t xml:space="preserve">Government CAPEX running at multi-decade highs with Union Budget FY26 allocation of ₹11.11 lakh crore — has created a sustained demand environment for industrial automation, electrification, and power management companies. The PLI scheme across 14 sectors is driving greenfield manufacturing investment that requires industrial equipment across the full value chain — from motors and drives to switchgear, transformers, and factory automation systems.</t>
  </si>
  <si>
    <t xml:space="preserve">Make in India Beneficiary requirements under PLI schemes and government procurement rules are forcing MNCs to localise manufacturing — benefiting Indian operations of global industrial conglomerates over imported equipment. This is a structural margin and volume tailwind for companies with established Indian manufacturing footprints.</t>
  </si>
  <si>
    <t xml:space="preserve">Indian capital goods companies trade at premium multiples justified by superior RoCE profiles, order book visibility of 18–24 months, and earnings growth compounding at 20%+. The sector has re-rated significantly since 2022 but earnings growth has kept pace with multiple expansion, leaving valuations stretched. Thus exposure should be limited in select stocks only.</t>
  </si>
  <si>
    <t xml:space="preserve">Government CAPEX Execution Risk: A meaningful portion of industrial demand is derived from government-sponsored infrastructure projects. Delays in project awards, budget reallocation pressures (Fiscal deficiet increasing amid rising dollar, lower foreign remittances, elevated oil price for longer time) could compress order inflows below consensus expectations.</t>
  </si>
  <si>
    <t xml:space="preserve">Competition from Imports: IND-EU trade deal allows Europian machinery and electrical equipment to enter India without any tariff (~44% to 0%). Thought the tariff elimination is phased in 10 years time(mostly 5-7 yrs), the sector will face headwinds at longer horizon (only id domestic players are unable to deliver export quality products at a cheaper price and reliability).</t>
  </si>
  <si>
    <t xml:space="preserve">Valuation Risk: At 50–60x trailing earnings, capital goods stocks leave no room for earnings disappointment — any guidance cut or order book slowdown would trigger sharp derating given how much growth is priced in at current levels.</t>
  </si>
  <si>
    <t xml:space="preserve">5.0%</t>
  </si>
  <si>
    <t xml:space="preserve">With more disposable income from tax savings and global tensions making some common international travel less attractive, expect a boom in domestic travel. Demand will be driven by a mix of weddings, business trips, MICE(Meetings, Incentives, Corporate, Exhibition), pilgrimages, and airline crew movement. Moreover, the upcoming consumers'(GenZ) philosophy of YOLO(You Live Only Once) - a mindset that encourages
seizing the moment for adventurous and spontaneous experiences, driving demand for unique trips, solo travel, and ticking off bucket-list items, often fueled by FOMO and a desire to live life fully after the pandemic will be the next leg of growth driver for Indian hotel industry.</t>
  </si>
  <si>
    <t xml:space="preserve">Digital consumer economy is in the structural shift from unorganised to organised consumption, from offline to digital commerce, whether it be grocery, electronics , fashion, or any other product/service, people love to get things at their fingertips. India's urban consumption story is being driven by a young, digitally-native population with rising disposable incomes, where convenience and experience overweigh price sensitivity in purchase desicions.</t>
  </si>
  <si>
    <t xml:space="preserve">Urban Consumption Slowdown: High urban unemployment among youth and plateauing real wage growth in the organised sector could dampen discretionary food and lifestyle spending — the key revenue driver for consumer platforms.</t>
  </si>
  <si>
    <t xml:space="preserve">Regulatory  &amp; Compliance Risk: As an overall, the government always tries to act in best interet of customers, requiring companies catering to direct customers adhere strong complaince with rules, procedures, and quality check. Any non-complaice may not only attract severe penalties but also reduced consumer confidence in that brand.</t>
  </si>
  <si>
    <t xml:space="preserve">Competition &amp; Burn Rate Resurgence: Any renewed competitive intensity — particularly from well-capitalised new entrants or international platforms — could force reinvestment in discounting and customer acquisition, reversing the unit economics improvement of the last two years.</t>
  </si>
  <si>
    <t xml:space="preserve">8.0%</t>
  </si>
  <si>
    <t xml:space="preserve">Indian telecom is undergoing change from a loss-making, hyper-competitive commodity market into a rational duopoly with pricing power and 5G monetisation on the horizon. The elimination of a functional third competitor — Vodafone-Idea's continued financial distress despite government intervention — has created the conditions for ARPU expansion that the sector has been structurally incapable of achieving for nearly a decade. Bharti Airtel has been the most consistent beneficiary of this industry restructuring, consistently gaining both revenue market share and premium subscribers while its balance sheet has strengthened materially.</t>
  </si>
  <si>
    <t xml:space="preserve">Along with the primay business of telecom service, the players are actively diversifying the business by offering digital TV solutions, OTT subscriptions, cloud and data center services, etc.</t>
  </si>
  <si>
    <t xml:space="preserve">Vodafone-Idea Revival: A successful capital raise and network reinvestment by Vodafone-Idea — perhaps through renewed government support or a strategic foreign partner — could reintroduce competitive pricing pressure and stall Airtel's ARPU expansion trajectory.</t>
  </si>
  <si>
    <t xml:space="preserve">Regulatory Spectrum Policy: Any adverse outcome in spectrum renewal auctions — higher than expected reserve prices, unfavourable sharing conditions, or retroactive license fee demands — could create balance sheet stress and divert capital from shareholder returns.</t>
  </si>
  <si>
    <t xml:space="preserve">4.0%</t>
  </si>
  <si>
    <t xml:space="preserve">India dominated low-cost generics. The game is changing. Over the next five years, roughly USD 250 billion worth of global innovator drugs are going off-patent. This "patent cliff" is a massive opportunity. Indian companies are also shifting investments heavily into complex generics, biosimilars, and specialty injectables</t>
  </si>
  <si>
    <t xml:space="preserve">The Union Budget 2026-27 marks India's shift from manufacturing low-cost generics to becoming a high-value, global biopharma innovation hub. Fueled by the ₹10,000 crore Biopharma SHAKTI initiative, the government is aggressively funding end-to-end R&amp;D, clinical trial infrastructure, and startup incubation. This coordinated policy push aims to capture 5% of the global market and build a $100 billion biotech industry.</t>
  </si>
  <si>
    <t xml:space="preserve">India offers complex surgeries—like oncology, cardiac, and organ transplants—at 10–20% of the cost in the West, with world-class clinical outcomes. Inbound patient volume from the Middle East, Africa, and South Asia provides top hospitals with a highly lucrative, dollar-denominated revenue stream.</t>
  </si>
  <si>
    <t xml:space="preserve">The gap between supply and demand in healthcare delivery remains huge. India still has roughly 0.5 beds per 1,000 people compared to the WHO standard of 3. Top-tier, listed hospital chains are the only players with the balance sheets to scale up quality infrastructure. At the same time, rising health insurance penetration is rapidly converting previously unaddressable demand into paying patients for these premium hospitals</t>
  </si>
  <si>
    <t xml:space="preserve">Strict regulatory non-compliance, high R&amp;D failure rates, patent cliffs, and supply chain disruptions.</t>
  </si>
  <si>
    <t xml:space="preserve">Capital Intensity Risk: Greenfield hospital development requires ₹1–2 crore per bed in construction and equipment cost, with a 3–5 year ramp-up period to profitability — aggressive capacity expansion programs can generate significant near-term free cash flow drag before new facilities reach maturity-level occupancy.</t>
  </si>
  <si>
    <t xml:space="preserve">Auto</t>
  </si>
  <si>
    <t xml:space="preserve">Automobile sector is witnessing a GST-driven volume uplift, an accelerating EV transition, and SUV premiumisation. GST restructuring on vehicles reduced the effective tax rate from 28%+cess to 18% and triggered a 20% YoY vehicle volume surge in late 2025. India overtook Japan to become the world's third-largest automobile market by volume in 2024, with annual sales exceeding 5 million passenger vehicles — and penetration at 34 vehicles per 1,000 people remains far below China's 228 or Brazil's 203, underscoring the structural demand runway.</t>
  </si>
  <si>
    <t xml:space="preserve">EV Disruption Risk for ICE Leaders: Companies over-indexed to ICE vehicles without credible EV transition roadmaps face long-term market share erosion risk </t>
  </si>
  <si>
    <t xml:space="preserve">Supply chain stress - Semiconductor chips and magnets</t>
  </si>
  <si>
    <t xml:space="preserve">El Nino &amp; Rural Slowdown: A below-normal monsoon from June 2026 would compress rural incomes and delay two-wheeler purchase decisions</t>
  </si>
  <si>
    <t xml:space="preserve">With India in Infra supercycle, materials being used in construction is in strong structural demand, but there's near-term headwinds from simultaneous capacity expansion by all major cement players. Roads, railways, affordable housing, irrigation, and industrial parks — provides multi-year cement volume demand visibility. India's per-capita cement consumption at approximately ~290 kg (FY25) is well below China's ~1,200 kg at a comparable stage of economic development, and the urbanisation-driven construction boom has a decade or more of structural demand runway.</t>
  </si>
  <si>
    <t xml:space="preserve">Overcapacity &amp; Pricing Pressure: The Indian cement industry is adding approximately 100 MT of capacity through 2026–27 — equivalent to 20% of current installed capacity. If demand growth disappoints relative to this supply surge, realisation per tonne could decline materially, compressing EBITDA margins </t>
  </si>
  <si>
    <t xml:space="preserve">Real Estate Slowdown Risk: A sharp slowdown in residential real estate — Cement's largest demand segment at approximately 65% of consumption — would be the most damaging scenario for sector volumes</t>
  </si>
  <si>
    <t xml:space="preserve">Fuel Cost Volatility: Cement kilns consume significant quantities of pet coke and coal — any supply disruption or price spike in global energy markets directly impacts the variable cost structure of cement production, with limited ability to pass through to customers in a competitive pricing environment.</t>
  </si>
  <si>
    <t xml:space="preserve">Metals and mining</t>
  </si>
  <si>
    <t xml:space="preserve">Infrastructure buildout and energy transition is recovering from a valuation trough created by Chinese import dumping and institutional under-ownership through CY2025. The setup for re-rating is compelling: policy protection has established a domestic price floor, demand is compounding from multiple structural drivers, and balance sheets are getting cleaner.</t>
  </si>
  <si>
    <t xml:space="preserve">The government placed a 3-year tax on steel imports (specifically targeting China and Vietnam), which has already slashed imports by 34%. This directly protects the profits of domestic steelmakers. Furthermore, Indians consume only 59 kg of steel per person versus the 233 kg global average. With the government pouring ₹11.11 lakh crore into infrastructure, local steel demand is set for steady growth.</t>
  </si>
  <si>
    <t xml:space="preserve">China Resumption Risk: Any easing of China's capacity caps or renewed export promotion would flood global markets with cheap steel and aluminium, compressing prices and threatening the safeguard duty regime's long-term efficacy — this is the single largest tail risk for the sector.</t>
  </si>
  <si>
    <t xml:space="preserve">EU Carbon Border Adjustment (CBAM): Full CBAM implementation in 2026 imposes an effective carbon tariff on Indian steel exports to Europe — given India's higher emissions intensity from coking coal-based blast furnaces, this structurally erodes export competitiveness in the European market.</t>
  </si>
</sst>
</file>

<file path=xl/styles.xml><?xml version="1.0" encoding="utf-8"?>
<styleSheet xmlns="http://schemas.openxmlformats.org/spreadsheetml/2006/main">
  <numFmts count="9">
    <numFmt numFmtId="164" formatCode="General"/>
    <numFmt numFmtId="165" formatCode="dd\-mmm\-yyyy"/>
    <numFmt numFmtId="166" formatCode="#,##0;\(#,##0\);\-"/>
    <numFmt numFmtId="167" formatCode="0.00%;\(0.00%\);\-"/>
    <numFmt numFmtId="168" formatCode="#,##0"/>
    <numFmt numFmtId="169" formatCode="#,##0.00"/>
    <numFmt numFmtId="170" formatCode="0.00"/>
    <numFmt numFmtId="171" formatCode="0.00;\(0.00\);\-"/>
    <numFmt numFmtId="172"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2A44"/>
        <bgColor rgb="FF003366"/>
      </patternFill>
    </fill>
    <fill>
      <patternFill patternType="solid">
        <fgColor rgb="FFE8ECF4"/>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C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7.35" hidden="false" customHeight="false" outlineLevel="0" collapsed="false">
      <c r="B1" s="1" t="s">
        <v>0</v>
      </c>
    </row>
    <row r="2" customFormat="false" ht="15" hidden="false" customHeight="false" outlineLevel="0" collapsed="false">
      <c r="B2" s="2"/>
    </row>
    <row r="3" customFormat="false" ht="15" hidden="false" customHeight="false" outlineLevel="0" collapsed="false">
      <c r="B3" s="3" t="s">
        <v>1</v>
      </c>
    </row>
    <row r="4" customFormat="false" ht="15" hidden="false" customHeight="false" outlineLevel="0" collapsed="false">
      <c r="B4" s="2" t="s">
        <v>2</v>
      </c>
    </row>
    <row r="5" customFormat="false" ht="15" hidden="false" customHeight="false" outlineLevel="0" collapsed="false">
      <c r="B5" s="2" t="s">
        <v>3</v>
      </c>
    </row>
    <row r="6" customFormat="false" ht="15" hidden="false" customHeight="false" outlineLevel="0" collapsed="false">
      <c r="B6" s="2" t="s">
        <v>4</v>
      </c>
    </row>
    <row r="7" customFormat="false" ht="15" hidden="false" customHeight="false" outlineLevel="0" collapsed="false">
      <c r="B7" s="2" t="s">
        <v>5</v>
      </c>
    </row>
    <row r="8" customFormat="false" ht="15" hidden="false" customHeight="false" outlineLevel="0" collapsed="false">
      <c r="B8" s="2" t="s">
        <v>6</v>
      </c>
    </row>
    <row r="9" customFormat="false" ht="15" hidden="false" customHeight="false" outlineLevel="0" collapsed="false">
      <c r="B9" s="2" t="s">
        <v>7</v>
      </c>
    </row>
    <row r="10" customFormat="false" ht="15" hidden="false" customHeight="false" outlineLevel="0" collapsed="false">
      <c r="B10" s="2" t="s">
        <v>8</v>
      </c>
    </row>
    <row r="11" customFormat="false" ht="15" hidden="false" customHeight="false" outlineLevel="0" collapsed="false">
      <c r="B11" s="2" t="s">
        <v>9</v>
      </c>
    </row>
    <row r="12" customFormat="false" ht="15" hidden="false" customHeight="false" outlineLevel="0" collapsed="false">
      <c r="B12" s="2"/>
    </row>
    <row r="13" customFormat="false" ht="15" hidden="false" customHeight="false" outlineLevel="0" collapsed="false">
      <c r="B13" s="3" t="s">
        <v>10</v>
      </c>
    </row>
    <row r="14" customFormat="false" ht="15" hidden="false" customHeight="false" outlineLevel="0" collapsed="false">
      <c r="B14" s="2" t="s">
        <v>11</v>
      </c>
    </row>
    <row r="15" customFormat="false" ht="15" hidden="false" customHeight="false" outlineLevel="0" collapsed="false">
      <c r="B15" s="2" t="s">
        <v>12</v>
      </c>
    </row>
    <row r="16" customFormat="false" ht="15" hidden="false" customHeight="false" outlineLevel="0" collapsed="false">
      <c r="B16" s="2" t="s">
        <v>13</v>
      </c>
    </row>
    <row r="17" customFormat="false" ht="15" hidden="false" customHeight="false" outlineLevel="0" collapsed="false">
      <c r="B17" s="2" t="s">
        <v>14</v>
      </c>
    </row>
    <row r="18" customFormat="false" ht="15" hidden="false" customHeight="false" outlineLevel="0" collapsed="false">
      <c r="B18" s="2"/>
    </row>
    <row r="19" customFormat="false" ht="15" hidden="false" customHeight="false" outlineLevel="0" collapsed="false">
      <c r="B19" s="3" t="s">
        <v>15</v>
      </c>
    </row>
    <row r="20" customFormat="false" ht="15" hidden="false" customHeight="false" outlineLevel="0" collapsed="false">
      <c r="B20" s="2" t="s">
        <v>16</v>
      </c>
    </row>
    <row r="21" customFormat="false" ht="23.85" hidden="false" customHeight="false" outlineLevel="0" collapsed="false">
      <c r="B21" s="2" t="s">
        <v>17</v>
      </c>
    </row>
    <row r="22" customFormat="false" ht="15" hidden="false" customHeight="false" outlineLevel="0" collapsed="false">
      <c r="B22" s="2" t="s">
        <v>18</v>
      </c>
    </row>
    <row r="23" customFormat="false" ht="23.85" hidden="false" customHeight="false" outlineLevel="0" collapsed="false">
      <c r="B23" s="2" t="s">
        <v>19</v>
      </c>
    </row>
    <row r="24" customFormat="false" ht="23.85" hidden="false" customHeight="false" outlineLevel="0" collapsed="false">
      <c r="B24" s="2" t="s">
        <v>20</v>
      </c>
    </row>
    <row r="25" customFormat="false" ht="23.85" hidden="false" customHeight="false" outlineLevel="0" collapsed="false">
      <c r="B25" s="2" t="s">
        <v>21</v>
      </c>
    </row>
    <row r="26" customFormat="false" ht="23.85" hidden="false" customHeight="false" outlineLevel="0" collapsed="false">
      <c r="B26" s="2" t="s">
        <v>22</v>
      </c>
    </row>
    <row r="27" customFormat="false" ht="15" hidden="false" customHeight="false" outlineLevel="0" collapsed="false">
      <c r="B27"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70"/>
  </cols>
  <sheetData>
    <row r="1" customFormat="false" ht="17.35" hidden="false" customHeight="false" outlineLevel="0" collapsed="false">
      <c r="A1" s="4" t="s">
        <v>24</v>
      </c>
    </row>
    <row r="2" customFormat="false" ht="15" hidden="false" customHeight="false" outlineLevel="0" collapsed="false">
      <c r="A2" s="5" t="s">
        <v>25</v>
      </c>
      <c r="B2" s="6" t="n">
        <v>46101</v>
      </c>
      <c r="C2" s="7" t="s">
        <v>26</v>
      </c>
    </row>
    <row r="3" customFormat="false" ht="15" hidden="false" customHeight="false" outlineLevel="0" collapsed="false">
      <c r="A3" s="5" t="s">
        <v>27</v>
      </c>
      <c r="B3" s="8" t="n">
        <v>10000000</v>
      </c>
      <c r="C3" s="7" t="s">
        <v>28</v>
      </c>
    </row>
    <row r="4" customFormat="false" ht="15" hidden="false" customHeight="false" outlineLevel="0" collapsed="false">
      <c r="A4" s="5" t="s">
        <v>29</v>
      </c>
      <c r="B4" s="9" t="s">
        <v>30</v>
      </c>
      <c r="C4" s="7" t="s">
        <v>31</v>
      </c>
    </row>
    <row r="5" customFormat="false" ht="15" hidden="false" customHeight="false" outlineLevel="0" collapsed="false">
      <c r="A5" s="5" t="s">
        <v>32</v>
      </c>
      <c r="B5" s="9" t="s">
        <v>33</v>
      </c>
      <c r="C5"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3" min="3" style="0" width="30"/>
    <col collapsed="false" customWidth="true" hidden="false" outlineLevel="0" max="4" min="4" style="0" width="34"/>
    <col collapsed="false" customWidth="true" hidden="false" outlineLevel="0" max="5" min="5" style="0" width="14"/>
    <col collapsed="false" customWidth="true" hidden="false" outlineLevel="0" max="6" min="6" style="0" width="22"/>
    <col collapsed="false" customWidth="true" hidden="false" outlineLevel="0" max="7" min="7" style="0" width="12"/>
    <col collapsed="false" customWidth="true" hidden="false" outlineLevel="0" max="8" min="8" style="0" width="90"/>
  </cols>
  <sheetData>
    <row r="1" customFormat="false" ht="15" hidden="false" customHeight="false" outlineLevel="0" collapsed="false">
      <c r="A1" s="10" t="s">
        <v>34</v>
      </c>
      <c r="B1" s="10" t="s">
        <v>35</v>
      </c>
      <c r="C1" s="10" t="s">
        <v>36</v>
      </c>
      <c r="D1" s="10" t="s">
        <v>37</v>
      </c>
      <c r="E1" s="10" t="s">
        <v>38</v>
      </c>
      <c r="F1" s="10" t="s">
        <v>39</v>
      </c>
      <c r="G1" s="10" t="s">
        <v>40</v>
      </c>
      <c r="H1" s="10" t="s">
        <v>41</v>
      </c>
    </row>
    <row r="2" customFormat="false" ht="15" hidden="false" customHeight="false" outlineLevel="0" collapsed="false">
      <c r="A2" s="11" t="s">
        <v>42</v>
      </c>
      <c r="B2" s="11" t="s">
        <v>43</v>
      </c>
      <c r="C2" s="11" t="s">
        <v>44</v>
      </c>
      <c r="D2" s="11" t="s">
        <v>45</v>
      </c>
      <c r="E2" s="12" t="n">
        <v>0.05</v>
      </c>
      <c r="F2" s="11" t="s">
        <v>46</v>
      </c>
      <c r="G2" s="11" t="n">
        <v>0</v>
      </c>
      <c r="H2" s="7"/>
    </row>
    <row r="3" customFormat="false" ht="15" hidden="false" customHeight="false" outlineLevel="0" collapsed="false">
      <c r="A3" s="11" t="s">
        <v>47</v>
      </c>
      <c r="B3" s="11" t="s">
        <v>48</v>
      </c>
      <c r="C3" s="11" t="s">
        <v>44</v>
      </c>
      <c r="D3" s="11" t="s">
        <v>45</v>
      </c>
      <c r="E3" s="12" t="n">
        <v>0.08</v>
      </c>
      <c r="F3" s="11" t="s">
        <v>49</v>
      </c>
      <c r="G3" s="11" t="n">
        <v>0</v>
      </c>
      <c r="H3" s="7"/>
    </row>
    <row r="4" customFormat="false" ht="15" hidden="false" customHeight="false" outlineLevel="0" collapsed="false">
      <c r="A4" s="11" t="s">
        <v>50</v>
      </c>
      <c r="B4" s="11" t="s">
        <v>51</v>
      </c>
      <c r="C4" s="11" t="s">
        <v>44</v>
      </c>
      <c r="D4" s="11" t="s">
        <v>52</v>
      </c>
      <c r="E4" s="12" t="n">
        <v>0.07</v>
      </c>
      <c r="F4" s="11" t="s">
        <v>53</v>
      </c>
      <c r="G4" s="11" t="n">
        <v>0</v>
      </c>
      <c r="H4" s="7"/>
    </row>
    <row r="5" customFormat="false" ht="15" hidden="false" customHeight="false" outlineLevel="0" collapsed="false">
      <c r="A5" s="11" t="s">
        <v>54</v>
      </c>
      <c r="B5" s="11" t="s">
        <v>55</v>
      </c>
      <c r="C5" s="11" t="s">
        <v>44</v>
      </c>
      <c r="D5" s="11" t="s">
        <v>56</v>
      </c>
      <c r="E5" s="12" t="n">
        <v>0.05</v>
      </c>
      <c r="F5" s="11" t="s">
        <v>57</v>
      </c>
      <c r="G5" s="11" t="n">
        <v>0</v>
      </c>
      <c r="H5" s="7"/>
    </row>
    <row r="6" customFormat="false" ht="15" hidden="false" customHeight="false" outlineLevel="0" collapsed="false">
      <c r="A6" s="11" t="s">
        <v>58</v>
      </c>
      <c r="B6" s="11" t="s">
        <v>59</v>
      </c>
      <c r="C6" s="11" t="s">
        <v>44</v>
      </c>
      <c r="D6" s="11" t="s">
        <v>60</v>
      </c>
      <c r="E6" s="12" t="n">
        <v>0.05</v>
      </c>
      <c r="F6" s="11" t="s">
        <v>61</v>
      </c>
      <c r="G6" s="11" t="n">
        <v>0</v>
      </c>
      <c r="H6" s="7"/>
    </row>
    <row r="7" customFormat="false" ht="15" hidden="false" customHeight="false" outlineLevel="0" collapsed="false">
      <c r="A7" s="11" t="s">
        <v>62</v>
      </c>
      <c r="B7" s="11" t="s">
        <v>63</v>
      </c>
      <c r="C7" s="11" t="s">
        <v>44</v>
      </c>
      <c r="D7" s="11" t="s">
        <v>64</v>
      </c>
      <c r="E7" s="12" t="n">
        <v>0.04</v>
      </c>
      <c r="F7" s="11" t="s">
        <v>65</v>
      </c>
      <c r="G7" s="11" t="n">
        <v>0</v>
      </c>
      <c r="H7" s="7"/>
    </row>
    <row r="8" customFormat="false" ht="15" hidden="false" customHeight="false" outlineLevel="0" collapsed="false">
      <c r="A8" s="11" t="s">
        <v>66</v>
      </c>
      <c r="B8" s="11" t="s">
        <v>67</v>
      </c>
      <c r="C8" s="11" t="s">
        <v>68</v>
      </c>
      <c r="D8" s="11" t="s">
        <v>69</v>
      </c>
      <c r="E8" s="12" t="n">
        <v>0.035</v>
      </c>
      <c r="F8" s="11" t="s">
        <v>70</v>
      </c>
      <c r="G8" s="11" t="n">
        <v>0</v>
      </c>
      <c r="H8" s="7"/>
    </row>
    <row r="9" customFormat="false" ht="15" hidden="false" customHeight="false" outlineLevel="0" collapsed="false">
      <c r="A9" s="11" t="s">
        <v>71</v>
      </c>
      <c r="B9" s="11" t="s">
        <v>71</v>
      </c>
      <c r="C9" s="11" t="s">
        <v>68</v>
      </c>
      <c r="D9" s="11" t="s">
        <v>69</v>
      </c>
      <c r="E9" s="12" t="n">
        <v>0.035</v>
      </c>
      <c r="F9" s="11" t="s">
        <v>72</v>
      </c>
      <c r="G9" s="11" t="n">
        <v>0</v>
      </c>
      <c r="H9" s="7"/>
    </row>
    <row r="10" customFormat="false" ht="15" hidden="false" customHeight="false" outlineLevel="0" collapsed="false">
      <c r="A10" s="11" t="s">
        <v>73</v>
      </c>
      <c r="B10" s="11" t="s">
        <v>74</v>
      </c>
      <c r="C10" s="11" t="s">
        <v>68</v>
      </c>
      <c r="D10" s="11" t="s">
        <v>69</v>
      </c>
      <c r="E10" s="12" t="n">
        <v>0.015</v>
      </c>
      <c r="F10" s="11" t="s">
        <v>75</v>
      </c>
      <c r="G10" s="11" t="n">
        <v>0</v>
      </c>
      <c r="H10" s="7"/>
    </row>
    <row r="11" customFormat="false" ht="15" hidden="false" customHeight="false" outlineLevel="0" collapsed="false">
      <c r="A11" s="11" t="s">
        <v>76</v>
      </c>
      <c r="B11" s="11" t="s">
        <v>76</v>
      </c>
      <c r="C11" s="11" t="s">
        <v>77</v>
      </c>
      <c r="D11" s="11" t="s">
        <v>78</v>
      </c>
      <c r="E11" s="12" t="n">
        <v>0.0325</v>
      </c>
      <c r="F11" s="11" t="s">
        <v>79</v>
      </c>
      <c r="G11" s="11" t="n">
        <v>0</v>
      </c>
      <c r="H11" s="7"/>
    </row>
    <row r="12" customFormat="false" ht="15" hidden="false" customHeight="false" outlineLevel="0" collapsed="false">
      <c r="A12" s="11" t="s">
        <v>80</v>
      </c>
      <c r="B12" s="11" t="s">
        <v>81</v>
      </c>
      <c r="C12" s="11" t="s">
        <v>77</v>
      </c>
      <c r="D12" s="11" t="s">
        <v>82</v>
      </c>
      <c r="E12" s="12" t="n">
        <v>0.0325</v>
      </c>
      <c r="F12" s="11" t="s">
        <v>83</v>
      </c>
      <c r="G12" s="11" t="n">
        <v>0</v>
      </c>
      <c r="H12" s="7"/>
    </row>
    <row r="13" customFormat="false" ht="15" hidden="false" customHeight="false" outlineLevel="0" collapsed="false">
      <c r="A13" s="11" t="s">
        <v>84</v>
      </c>
      <c r="B13" s="11" t="s">
        <v>84</v>
      </c>
      <c r="C13" s="11" t="s">
        <v>77</v>
      </c>
      <c r="D13" s="11" t="s">
        <v>85</v>
      </c>
      <c r="E13" s="12" t="n">
        <v>0.005</v>
      </c>
      <c r="F13" s="11" t="s">
        <v>86</v>
      </c>
      <c r="G13" s="11" t="n">
        <v>0</v>
      </c>
      <c r="H13" s="7"/>
    </row>
    <row r="14" customFormat="false" ht="15" hidden="false" customHeight="false" outlineLevel="0" collapsed="false">
      <c r="A14" s="11" t="s">
        <v>87</v>
      </c>
      <c r="B14" s="11" t="s">
        <v>88</v>
      </c>
      <c r="C14" s="11" t="s">
        <v>89</v>
      </c>
      <c r="D14" s="11" t="s">
        <v>90</v>
      </c>
      <c r="E14" s="12" t="n">
        <v>0.02</v>
      </c>
      <c r="F14" s="11" t="s">
        <v>91</v>
      </c>
      <c r="G14" s="11" t="n">
        <v>0</v>
      </c>
      <c r="H14" s="7"/>
    </row>
    <row r="15" customFormat="false" ht="15" hidden="false" customHeight="false" outlineLevel="0" collapsed="false">
      <c r="A15" s="11" t="s">
        <v>92</v>
      </c>
      <c r="B15" s="11" t="s">
        <v>93</v>
      </c>
      <c r="C15" s="11" t="s">
        <v>89</v>
      </c>
      <c r="D15" s="11" t="s">
        <v>94</v>
      </c>
      <c r="E15" s="12" t="n">
        <v>0.02</v>
      </c>
      <c r="F15" s="11"/>
      <c r="G15" s="11" t="n">
        <v>1</v>
      </c>
      <c r="H15" s="7"/>
    </row>
    <row r="16" customFormat="false" ht="15" hidden="false" customHeight="false" outlineLevel="0" collapsed="false">
      <c r="A16" s="11" t="s">
        <v>95</v>
      </c>
      <c r="B16" s="11" t="s">
        <v>96</v>
      </c>
      <c r="C16" s="11" t="s">
        <v>97</v>
      </c>
      <c r="D16" s="11" t="s">
        <v>98</v>
      </c>
      <c r="E16" s="12" t="n">
        <v>0.01</v>
      </c>
      <c r="F16" s="11" t="s">
        <v>99</v>
      </c>
      <c r="G16" s="11" t="n">
        <v>0</v>
      </c>
      <c r="H16" s="7"/>
    </row>
    <row r="17" customFormat="false" ht="15" hidden="false" customHeight="false" outlineLevel="0" collapsed="false">
      <c r="A17" s="11" t="s">
        <v>100</v>
      </c>
      <c r="B17" s="11" t="s">
        <v>101</v>
      </c>
      <c r="C17" s="11" t="s">
        <v>97</v>
      </c>
      <c r="D17" s="11" t="s">
        <v>102</v>
      </c>
      <c r="E17" s="12" t="n">
        <v>0.03</v>
      </c>
      <c r="F17" s="11" t="s">
        <v>103</v>
      </c>
      <c r="G17" s="11" t="n">
        <v>0</v>
      </c>
      <c r="H17" s="7"/>
    </row>
    <row r="18" customFormat="false" ht="15" hidden="false" customHeight="false" outlineLevel="0" collapsed="false">
      <c r="A18" s="11" t="s">
        <v>104</v>
      </c>
      <c r="B18" s="11" t="s">
        <v>105</v>
      </c>
      <c r="C18" s="11" t="s">
        <v>106</v>
      </c>
      <c r="D18" s="11" t="s">
        <v>107</v>
      </c>
      <c r="E18" s="12" t="n">
        <v>0.04</v>
      </c>
      <c r="F18" s="11" t="s">
        <v>108</v>
      </c>
      <c r="G18" s="11" t="n">
        <v>0</v>
      </c>
      <c r="H18" s="7"/>
    </row>
    <row r="19" customFormat="false" ht="15" hidden="false" customHeight="false" outlineLevel="0" collapsed="false">
      <c r="A19" s="11" t="s">
        <v>109</v>
      </c>
      <c r="B19" s="11" t="s">
        <v>110</v>
      </c>
      <c r="C19" s="11" t="s">
        <v>111</v>
      </c>
      <c r="D19" s="11" t="s">
        <v>112</v>
      </c>
      <c r="E19" s="12" t="n">
        <v>0.025</v>
      </c>
      <c r="F19" s="11" t="s">
        <v>113</v>
      </c>
      <c r="G19" s="11" t="n">
        <v>0</v>
      </c>
      <c r="H19" s="7"/>
    </row>
    <row r="20" customFormat="false" ht="15" hidden="false" customHeight="false" outlineLevel="0" collapsed="false">
      <c r="A20" s="11" t="s">
        <v>114</v>
      </c>
      <c r="B20" s="11" t="s">
        <v>115</v>
      </c>
      <c r="C20" s="11" t="s">
        <v>111</v>
      </c>
      <c r="D20" s="11" t="s">
        <v>112</v>
      </c>
      <c r="E20" s="12" t="n">
        <v>0.03</v>
      </c>
      <c r="F20" s="11" t="s">
        <v>116</v>
      </c>
      <c r="G20" s="11" t="n">
        <v>0</v>
      </c>
      <c r="H20" s="7"/>
    </row>
    <row r="21" customFormat="false" ht="15" hidden="false" customHeight="false" outlineLevel="0" collapsed="false">
      <c r="A21" s="11" t="s">
        <v>117</v>
      </c>
      <c r="B21" s="11" t="s">
        <v>118</v>
      </c>
      <c r="C21" s="11" t="s">
        <v>111</v>
      </c>
      <c r="D21" s="11" t="s">
        <v>119</v>
      </c>
      <c r="E21" s="12" t="n">
        <v>0.025</v>
      </c>
      <c r="F21" s="11" t="s">
        <v>120</v>
      </c>
      <c r="G21" s="11" t="n">
        <v>0</v>
      </c>
      <c r="H21" s="7"/>
    </row>
    <row r="22" customFormat="false" ht="15" hidden="false" customHeight="false" outlineLevel="0" collapsed="false">
      <c r="A22" s="11" t="s">
        <v>121</v>
      </c>
      <c r="B22" s="11" t="s">
        <v>122</v>
      </c>
      <c r="C22" s="11" t="s">
        <v>123</v>
      </c>
      <c r="D22" s="11" t="s">
        <v>124</v>
      </c>
      <c r="E22" s="12" t="n">
        <v>0.05</v>
      </c>
      <c r="F22" s="11" t="s">
        <v>125</v>
      </c>
      <c r="G22" s="11" t="n">
        <v>0</v>
      </c>
      <c r="H22" s="7"/>
    </row>
    <row r="23" customFormat="false" ht="15" hidden="false" customHeight="false" outlineLevel="0" collapsed="false">
      <c r="A23" s="11" t="s">
        <v>126</v>
      </c>
      <c r="B23" s="11" t="s">
        <v>127</v>
      </c>
      <c r="C23" s="11" t="s">
        <v>128</v>
      </c>
      <c r="D23" s="11" t="s">
        <v>129</v>
      </c>
      <c r="E23" s="12" t="n">
        <v>0.07</v>
      </c>
      <c r="F23" s="11"/>
      <c r="G23" s="11" t="n">
        <v>1</v>
      </c>
      <c r="H23" s="7"/>
    </row>
    <row r="24" customFormat="false" ht="15" hidden="false" customHeight="false" outlineLevel="0" collapsed="false">
      <c r="A24" s="11" t="s">
        <v>130</v>
      </c>
      <c r="B24" s="11" t="s">
        <v>131</v>
      </c>
      <c r="C24" s="11" t="s">
        <v>132</v>
      </c>
      <c r="D24" s="11" t="s">
        <v>133</v>
      </c>
      <c r="E24" s="12" t="n">
        <v>0.03</v>
      </c>
      <c r="F24" s="11" t="s">
        <v>134</v>
      </c>
      <c r="G24" s="11" t="n">
        <v>0</v>
      </c>
      <c r="H24" s="7"/>
    </row>
    <row r="25" customFormat="false" ht="15" hidden="false" customHeight="false" outlineLevel="0" collapsed="false">
      <c r="A25" s="11" t="s">
        <v>135</v>
      </c>
      <c r="B25" s="11" t="s">
        <v>136</v>
      </c>
      <c r="C25" s="11" t="s">
        <v>137</v>
      </c>
      <c r="D25" s="11" t="s">
        <v>138</v>
      </c>
      <c r="E25" s="12" t="n">
        <v>0.02</v>
      </c>
      <c r="F25" s="11" t="s">
        <v>139</v>
      </c>
      <c r="G25" s="11" t="n">
        <v>0</v>
      </c>
      <c r="H25" s="7"/>
    </row>
    <row r="26" customFormat="false" ht="15" hidden="false" customHeight="false" outlineLevel="0" collapsed="false">
      <c r="A26" s="11" t="s">
        <v>140</v>
      </c>
      <c r="B26" s="11" t="s">
        <v>141</v>
      </c>
      <c r="C26" s="11" t="s">
        <v>142</v>
      </c>
      <c r="D26" s="11" t="s">
        <v>143</v>
      </c>
      <c r="E26" s="12" t="n">
        <v>0.005</v>
      </c>
      <c r="F26" s="11" t="s">
        <v>144</v>
      </c>
      <c r="G26" s="11" t="n">
        <v>0</v>
      </c>
      <c r="H26" s="7"/>
    </row>
    <row r="27" customFormat="false" ht="15" hidden="false" customHeight="false" outlineLevel="0" collapsed="false">
      <c r="A27" s="11" t="s">
        <v>145</v>
      </c>
      <c r="B27" s="11" t="s">
        <v>146</v>
      </c>
      <c r="C27" s="11" t="s">
        <v>142</v>
      </c>
      <c r="D27" s="11" t="s">
        <v>147</v>
      </c>
      <c r="E27" s="12" t="n">
        <v>0.02</v>
      </c>
      <c r="F27" s="11" t="s">
        <v>148</v>
      </c>
      <c r="G27" s="11" t="n">
        <v>0</v>
      </c>
      <c r="H27" s="7"/>
    </row>
    <row r="28" customFormat="false" ht="15" hidden="false" customHeight="false" outlineLevel="0" collapsed="false">
      <c r="A28" s="11" t="s">
        <v>149</v>
      </c>
      <c r="B28" s="11" t="s">
        <v>150</v>
      </c>
      <c r="C28" s="11" t="s">
        <v>142</v>
      </c>
      <c r="D28" s="11" t="s">
        <v>151</v>
      </c>
      <c r="E28" s="12" t="n">
        <v>0.025</v>
      </c>
      <c r="F28" s="11" t="s">
        <v>152</v>
      </c>
      <c r="G28" s="11" t="n">
        <v>0</v>
      </c>
      <c r="H28" s="7"/>
    </row>
    <row r="29" customFormat="false" ht="15" hidden="false" customHeight="false" outlineLevel="0" collapsed="false">
      <c r="A29" s="11" t="s">
        <v>153</v>
      </c>
      <c r="B29" s="11" t="s">
        <v>154</v>
      </c>
      <c r="C29" s="11" t="s">
        <v>142</v>
      </c>
      <c r="D29" s="11" t="s">
        <v>155</v>
      </c>
      <c r="E29" s="12" t="n">
        <v>0.025</v>
      </c>
      <c r="F29" s="11" t="s">
        <v>156</v>
      </c>
      <c r="G29" s="11" t="n">
        <v>0</v>
      </c>
      <c r="H29" s="7"/>
    </row>
    <row r="30" customFormat="false" ht="15" hidden="false" customHeight="false" outlineLevel="0" collapsed="false">
      <c r="A30" s="11" t="s">
        <v>157</v>
      </c>
      <c r="B30" s="11" t="s">
        <v>158</v>
      </c>
      <c r="C30" s="11" t="s">
        <v>159</v>
      </c>
      <c r="D30" s="11" t="s">
        <v>160</v>
      </c>
      <c r="E30" s="12" t="n">
        <v>0.02</v>
      </c>
      <c r="F30" s="11" t="s">
        <v>161</v>
      </c>
      <c r="G30" s="11" t="n">
        <v>0</v>
      </c>
      <c r="H30" s="7"/>
    </row>
    <row r="31" customFormat="false" ht="15" hidden="false" customHeight="false" outlineLevel="0" collapsed="false">
      <c r="A31" s="11" t="s">
        <v>162</v>
      </c>
      <c r="B31" s="11" t="s">
        <v>163</v>
      </c>
      <c r="C31" s="11" t="s">
        <v>164</v>
      </c>
      <c r="D31" s="11" t="s">
        <v>165</v>
      </c>
      <c r="E31" s="12" t="n">
        <v>0.02</v>
      </c>
      <c r="F31" s="11" t="s">
        <v>166</v>
      </c>
      <c r="G31" s="11" t="n">
        <v>0</v>
      </c>
      <c r="H31" s="7"/>
    </row>
    <row r="32" customFormat="false" ht="15" hidden="false" customHeight="false" outlineLevel="0" collapsed="false">
      <c r="A32" s="11" t="s">
        <v>167</v>
      </c>
      <c r="B32" s="11" t="s">
        <v>168</v>
      </c>
      <c r="C32" s="11" t="s">
        <v>169</v>
      </c>
      <c r="D32" s="11" t="s">
        <v>170</v>
      </c>
      <c r="E32" s="12" t="n">
        <v>0.02</v>
      </c>
      <c r="F32" s="11" t="s">
        <v>171</v>
      </c>
      <c r="G32" s="11" t="n">
        <v>0</v>
      </c>
      <c r="H32" s="7" t="s">
        <v>172</v>
      </c>
    </row>
    <row r="33" customFormat="false" ht="15" hidden="false" customHeight="false" outlineLevel="0" collapsed="false">
      <c r="A33" s="11" t="s">
        <v>173</v>
      </c>
      <c r="B33" s="11" t="s">
        <v>174</v>
      </c>
      <c r="C33" s="11" t="s">
        <v>169</v>
      </c>
      <c r="D33" s="11" t="s">
        <v>175</v>
      </c>
      <c r="E33" s="12" t="n">
        <v>0</v>
      </c>
      <c r="F33" s="11"/>
      <c r="G33" s="11" t="n">
        <v>1</v>
      </c>
      <c r="H33" s="7" t="s">
        <v>176</v>
      </c>
    </row>
    <row r="34" customFormat="false" ht="15" hidden="false" customHeight="false" outlineLevel="0" collapsed="false">
      <c r="A34" s="11" t="s">
        <v>177</v>
      </c>
      <c r="B34" s="11" t="s">
        <v>178</v>
      </c>
      <c r="C34" s="11" t="s">
        <v>169</v>
      </c>
      <c r="D34" s="11" t="s">
        <v>175</v>
      </c>
      <c r="E34" s="12" t="n">
        <v>0</v>
      </c>
      <c r="F34" s="11"/>
      <c r="G34" s="11" t="n">
        <v>1</v>
      </c>
      <c r="H34" s="7" t="s">
        <v>176</v>
      </c>
    </row>
    <row r="35" customFormat="false" ht="15" hidden="false" customHeight="false" outlineLevel="0" collapsed="false">
      <c r="A35" s="11" t="s">
        <v>179</v>
      </c>
      <c r="B35" s="11" t="s">
        <v>180</v>
      </c>
      <c r="C35" s="11" t="s">
        <v>169</v>
      </c>
      <c r="D35" s="11" t="s">
        <v>175</v>
      </c>
      <c r="E35" s="12" t="n">
        <v>0</v>
      </c>
      <c r="F35" s="11"/>
      <c r="G35" s="11" t="n">
        <v>1</v>
      </c>
      <c r="H35" s="7" t="s">
        <v>176</v>
      </c>
    </row>
    <row r="36" customFormat="false" ht="15" hidden="false" customHeight="false" outlineLevel="0" collapsed="false">
      <c r="A36" s="11" t="s">
        <v>181</v>
      </c>
      <c r="B36" s="11" t="s">
        <v>182</v>
      </c>
      <c r="C36" s="11" t="s">
        <v>169</v>
      </c>
      <c r="D36" s="11" t="s">
        <v>175</v>
      </c>
      <c r="E36" s="12" t="n">
        <v>0</v>
      </c>
      <c r="F36" s="11"/>
      <c r="G36" s="11" t="n">
        <v>1</v>
      </c>
      <c r="H36" s="7" t="s">
        <v>176</v>
      </c>
    </row>
    <row r="37" customFormat="false" ht="15" hidden="false" customHeight="false" outlineLevel="0" collapsed="false">
      <c r="D37" s="5" t="s">
        <v>183</v>
      </c>
      <c r="E37" s="13" t="n">
        <f aca="false">SUM(E2:E36)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7" min="6" style="0" width="12"/>
    <col collapsed="false" customWidth="true" hidden="false" outlineLevel="0" max="8" min="8" style="0" width="60"/>
    <col collapsed="false" customWidth="true" hidden="false" outlineLevel="0" max="9" min="9" style="0" width="12"/>
    <col collapsed="false" customWidth="true" hidden="false" outlineLevel="0" max="10" min="10" style="0" width="16"/>
  </cols>
  <sheetData>
    <row r="1" customFormat="false" ht="23.85" hidden="false" customHeight="false" outlineLevel="0" collapsed="false">
      <c r="A1" s="10" t="s">
        <v>184</v>
      </c>
      <c r="B1" s="10" t="s">
        <v>185</v>
      </c>
      <c r="C1" s="10" t="s">
        <v>34</v>
      </c>
      <c r="D1" s="10" t="s">
        <v>186</v>
      </c>
      <c r="E1" s="10" t="s">
        <v>187</v>
      </c>
      <c r="F1" s="10" t="s">
        <v>188</v>
      </c>
      <c r="G1" s="10" t="s">
        <v>189</v>
      </c>
      <c r="H1" s="10" t="s">
        <v>41</v>
      </c>
      <c r="I1" s="10" t="s">
        <v>190</v>
      </c>
      <c r="J1" s="10" t="s">
        <v>191</v>
      </c>
    </row>
    <row r="2" customFormat="false" ht="15" hidden="false" customHeight="false" outlineLevel="0" collapsed="false">
      <c r="A2" s="11" t="s">
        <v>192</v>
      </c>
      <c r="B2" s="14" t="n">
        <v>46101</v>
      </c>
      <c r="C2" s="11" t="s">
        <v>42</v>
      </c>
      <c r="D2" s="11" t="s">
        <v>193</v>
      </c>
      <c r="E2" s="15" t="n">
        <v>1363</v>
      </c>
      <c r="F2" s="16" t="n">
        <v>366.75</v>
      </c>
      <c r="G2" s="11" t="s">
        <v>194</v>
      </c>
      <c r="H2" s="11" t="s">
        <v>195</v>
      </c>
      <c r="I2" s="17" t="n">
        <f aca="false">IF(E2="","",IF(D2="BUY",E2,-E2))</f>
        <v>1363</v>
      </c>
      <c r="J2" s="18" t="n">
        <f aca="false">IF(E2="","",I2*F2)</f>
        <v>499880.25</v>
      </c>
    </row>
    <row r="3" customFormat="false" ht="15" hidden="false" customHeight="false" outlineLevel="0" collapsed="false">
      <c r="A3" s="11" t="s">
        <v>196</v>
      </c>
      <c r="B3" s="14" t="n">
        <v>46101</v>
      </c>
      <c r="C3" s="11" t="s">
        <v>47</v>
      </c>
      <c r="D3" s="11" t="s">
        <v>193</v>
      </c>
      <c r="E3" s="15" t="n">
        <v>1025</v>
      </c>
      <c r="F3" s="16" t="n">
        <v>780.45</v>
      </c>
      <c r="G3" s="11" t="s">
        <v>197</v>
      </c>
      <c r="H3" s="11" t="s">
        <v>195</v>
      </c>
      <c r="I3" s="17" t="n">
        <f aca="false">IF(E3="","",IF(D3="BUY",E3,-E3))</f>
        <v>1025</v>
      </c>
      <c r="J3" s="18" t="n">
        <f aca="false">IF(E3="","",I3*F3)</f>
        <v>799961.25</v>
      </c>
    </row>
    <row r="4" customFormat="false" ht="15" hidden="false" customHeight="false" outlineLevel="0" collapsed="false">
      <c r="A4" s="11" t="s">
        <v>198</v>
      </c>
      <c r="B4" s="14" t="n">
        <v>46101</v>
      </c>
      <c r="C4" s="11" t="s">
        <v>50</v>
      </c>
      <c r="D4" s="11" t="s">
        <v>193</v>
      </c>
      <c r="E4" s="15" t="n">
        <v>662</v>
      </c>
      <c r="F4" s="16" t="n">
        <v>1058</v>
      </c>
      <c r="G4" s="11" t="s">
        <v>199</v>
      </c>
      <c r="H4" s="11" t="s">
        <v>195</v>
      </c>
      <c r="I4" s="17" t="n">
        <f aca="false">IF(E4="","",IF(D4="BUY",E4,-E4))</f>
        <v>662</v>
      </c>
      <c r="J4" s="18" t="n">
        <f aca="false">IF(E4="","",I4*F4)</f>
        <v>700396</v>
      </c>
    </row>
    <row r="5" customFormat="false" ht="15" hidden="false" customHeight="false" outlineLevel="0" collapsed="false">
      <c r="A5" s="11" t="s">
        <v>200</v>
      </c>
      <c r="B5" s="14" t="n">
        <v>46101</v>
      </c>
      <c r="C5" s="11" t="s">
        <v>54</v>
      </c>
      <c r="D5" s="11" t="s">
        <v>193</v>
      </c>
      <c r="E5" s="15" t="n">
        <v>1929</v>
      </c>
      <c r="F5" s="16" t="n">
        <v>259.25</v>
      </c>
      <c r="G5" s="11" t="s">
        <v>201</v>
      </c>
      <c r="H5" s="11" t="s">
        <v>195</v>
      </c>
      <c r="I5" s="17" t="n">
        <f aca="false">IF(E5="","",IF(D5="BUY",E5,-E5))</f>
        <v>1929</v>
      </c>
      <c r="J5" s="18" t="n">
        <f aca="false">IF(E5="","",I5*F5)</f>
        <v>500093.25</v>
      </c>
    </row>
    <row r="6" customFormat="false" ht="15" hidden="false" customHeight="false" outlineLevel="0" collapsed="false">
      <c r="A6" s="11" t="s">
        <v>202</v>
      </c>
      <c r="B6" s="14" t="n">
        <v>46101</v>
      </c>
      <c r="C6" s="11" t="s">
        <v>58</v>
      </c>
      <c r="D6" s="11" t="s">
        <v>193</v>
      </c>
      <c r="E6" s="15" t="n">
        <v>533</v>
      </c>
      <c r="F6" s="16" t="n">
        <v>938.6</v>
      </c>
      <c r="G6" s="11" t="s">
        <v>203</v>
      </c>
      <c r="H6" s="11" t="s">
        <v>195</v>
      </c>
      <c r="I6" s="17" t="n">
        <f aca="false">IF(E6="","",IF(D6="BUY",E6,-E6))</f>
        <v>533</v>
      </c>
      <c r="J6" s="18" t="n">
        <f aca="false">IF(E6="","",I6*F6)</f>
        <v>500273.8</v>
      </c>
    </row>
    <row r="7" customFormat="false" ht="15" hidden="false" customHeight="false" outlineLevel="0" collapsed="false">
      <c r="A7" s="11" t="s">
        <v>204</v>
      </c>
      <c r="B7" s="14" t="n">
        <v>46101</v>
      </c>
      <c r="C7" s="11" t="s">
        <v>62</v>
      </c>
      <c r="D7" s="11" t="s">
        <v>193</v>
      </c>
      <c r="E7" s="15" t="n">
        <v>1210</v>
      </c>
      <c r="F7" s="16" t="n">
        <v>330.5</v>
      </c>
      <c r="G7" s="11" t="s">
        <v>205</v>
      </c>
      <c r="H7" s="11" t="s">
        <v>195</v>
      </c>
      <c r="I7" s="17" t="n">
        <f aca="false">IF(E7="","",IF(D7="BUY",E7,-E7))</f>
        <v>1210</v>
      </c>
      <c r="J7" s="18" t="n">
        <f aca="false">IF(E7="","",I7*F7)</f>
        <v>399905</v>
      </c>
    </row>
    <row r="8" customFormat="false" ht="15" hidden="false" customHeight="false" outlineLevel="0" collapsed="false">
      <c r="A8" s="11" t="s">
        <v>206</v>
      </c>
      <c r="B8" s="14" t="n">
        <v>46101</v>
      </c>
      <c r="C8" s="11" t="s">
        <v>66</v>
      </c>
      <c r="D8" s="11" t="s">
        <v>193</v>
      </c>
      <c r="E8" s="15" t="n">
        <v>279</v>
      </c>
      <c r="F8" s="16" t="n">
        <v>1255.9</v>
      </c>
      <c r="G8" s="11" t="s">
        <v>207</v>
      </c>
      <c r="H8" s="11" t="s">
        <v>195</v>
      </c>
      <c r="I8" s="17" t="n">
        <f aca="false">IF(E8="","",IF(D8="BUY",E8,-E8))</f>
        <v>279</v>
      </c>
      <c r="J8" s="18" t="n">
        <f aca="false">IF(E8="","",I8*F8)</f>
        <v>350396.1</v>
      </c>
    </row>
    <row r="9" customFormat="false" ht="15" hidden="false" customHeight="false" outlineLevel="0" collapsed="false">
      <c r="A9" s="11" t="s">
        <v>208</v>
      </c>
      <c r="B9" s="14" t="n">
        <v>46101</v>
      </c>
      <c r="C9" s="11" t="s">
        <v>71</v>
      </c>
      <c r="D9" s="11" t="s">
        <v>193</v>
      </c>
      <c r="E9" s="15" t="n">
        <v>147</v>
      </c>
      <c r="F9" s="16" t="n">
        <v>2390.6</v>
      </c>
      <c r="G9" s="11" t="s">
        <v>209</v>
      </c>
      <c r="H9" s="11" t="s">
        <v>195</v>
      </c>
      <c r="I9" s="17" t="n">
        <f aca="false">IF(E9="","",IF(D9="BUY",E9,-E9))</f>
        <v>147</v>
      </c>
      <c r="J9" s="18" t="n">
        <f aca="false">IF(E9="","",I9*F9)</f>
        <v>351418.2</v>
      </c>
    </row>
    <row r="10" customFormat="false" ht="15" hidden="false" customHeight="false" outlineLevel="0" collapsed="false">
      <c r="A10" s="11" t="s">
        <v>210</v>
      </c>
      <c r="B10" s="14" t="n">
        <v>46101</v>
      </c>
      <c r="C10" s="11" t="s">
        <v>73</v>
      </c>
      <c r="D10" s="11" t="s">
        <v>193</v>
      </c>
      <c r="E10" s="15" t="n">
        <v>112</v>
      </c>
      <c r="F10" s="16" t="n">
        <v>1333.7</v>
      </c>
      <c r="G10" s="11" t="s">
        <v>211</v>
      </c>
      <c r="H10" s="11" t="s">
        <v>195</v>
      </c>
      <c r="I10" s="17" t="n">
        <f aca="false">IF(E10="","",IF(D10="BUY",E10,-E10))</f>
        <v>112</v>
      </c>
      <c r="J10" s="18" t="n">
        <f aca="false">IF(E10="","",I10*F10)</f>
        <v>149374.4</v>
      </c>
    </row>
    <row r="11" customFormat="false" ht="15" hidden="false" customHeight="false" outlineLevel="0" collapsed="false">
      <c r="A11" s="11" t="s">
        <v>212</v>
      </c>
      <c r="B11" s="14" t="n">
        <v>46101</v>
      </c>
      <c r="C11" s="11" t="s">
        <v>76</v>
      </c>
      <c r="D11" s="11" t="s">
        <v>193</v>
      </c>
      <c r="E11" s="15" t="n">
        <v>853</v>
      </c>
      <c r="F11" s="16" t="n">
        <v>380.95</v>
      </c>
      <c r="G11" s="11" t="s">
        <v>213</v>
      </c>
      <c r="H11" s="11" t="s">
        <v>195</v>
      </c>
      <c r="I11" s="17" t="n">
        <f aca="false">IF(E11="","",IF(D11="BUY",E11,-E11))</f>
        <v>853</v>
      </c>
      <c r="J11" s="18" t="n">
        <f aca="false">IF(E11="","",I11*F11)</f>
        <v>324950.35</v>
      </c>
    </row>
    <row r="12" customFormat="false" ht="15" hidden="false" customHeight="false" outlineLevel="0" collapsed="false">
      <c r="A12" s="11" t="s">
        <v>214</v>
      </c>
      <c r="B12" s="14" t="n">
        <v>46101</v>
      </c>
      <c r="C12" s="11" t="s">
        <v>80</v>
      </c>
      <c r="D12" s="11" t="s">
        <v>193</v>
      </c>
      <c r="E12" s="15" t="n">
        <v>808</v>
      </c>
      <c r="F12" s="16" t="n">
        <v>402.4</v>
      </c>
      <c r="G12" s="11" t="s">
        <v>215</v>
      </c>
      <c r="H12" s="11" t="s">
        <v>195</v>
      </c>
      <c r="I12" s="17" t="n">
        <f aca="false">IF(E12="","",IF(D12="BUY",E12,-E12))</f>
        <v>808</v>
      </c>
      <c r="J12" s="18" t="n">
        <f aca="false">IF(E12="","",I12*F12)</f>
        <v>325139.2</v>
      </c>
    </row>
    <row r="13" customFormat="false" ht="15" hidden="false" customHeight="false" outlineLevel="0" collapsed="false">
      <c r="A13" s="11" t="s">
        <v>216</v>
      </c>
      <c r="B13" s="14" t="n">
        <v>46101</v>
      </c>
      <c r="C13" s="11" t="s">
        <v>84</v>
      </c>
      <c r="D13" s="11" t="s">
        <v>193</v>
      </c>
      <c r="E13" s="15" t="n">
        <v>414</v>
      </c>
      <c r="F13" s="16" t="n">
        <v>120.53</v>
      </c>
      <c r="G13" s="11" t="s">
        <v>217</v>
      </c>
      <c r="H13" s="11" t="s">
        <v>195</v>
      </c>
      <c r="I13" s="17" t="n">
        <f aca="false">IF(E13="","",IF(D13="BUY",E13,-E13))</f>
        <v>414</v>
      </c>
      <c r="J13" s="18" t="n">
        <f aca="false">IF(E13="","",I13*F13)</f>
        <v>49899.42</v>
      </c>
    </row>
    <row r="14" customFormat="false" ht="15" hidden="false" customHeight="false" outlineLevel="0" collapsed="false">
      <c r="A14" s="11" t="s">
        <v>218</v>
      </c>
      <c r="B14" s="14" t="n">
        <v>46101</v>
      </c>
      <c r="C14" s="11" t="s">
        <v>87</v>
      </c>
      <c r="D14" s="11" t="s">
        <v>193</v>
      </c>
      <c r="E14" s="15" t="n">
        <v>251</v>
      </c>
      <c r="F14" s="16" t="n">
        <v>796.9</v>
      </c>
      <c r="G14" s="11" t="s">
        <v>219</v>
      </c>
      <c r="H14" s="11" t="s">
        <v>195</v>
      </c>
      <c r="I14" s="17" t="n">
        <f aca="false">IF(E14="","",IF(D14="BUY",E14,-E14))</f>
        <v>251</v>
      </c>
      <c r="J14" s="18" t="n">
        <f aca="false">IF(E14="","",I14*F14)</f>
        <v>200021.9</v>
      </c>
    </row>
    <row r="15" customFormat="false" ht="15" hidden="false" customHeight="false" outlineLevel="0" collapsed="false">
      <c r="A15" s="11" t="s">
        <v>220</v>
      </c>
      <c r="B15" s="14" t="n">
        <v>46101</v>
      </c>
      <c r="C15" s="11" t="s">
        <v>92</v>
      </c>
      <c r="D15" s="11" t="s">
        <v>193</v>
      </c>
      <c r="E15" s="15" t="n">
        <v>1708</v>
      </c>
      <c r="F15" s="16" t="n">
        <v>117.1</v>
      </c>
      <c r="G15" s="11" t="s">
        <v>221</v>
      </c>
      <c r="H15" s="11" t="s">
        <v>195</v>
      </c>
      <c r="I15" s="17" t="n">
        <f aca="false">IF(E15="","",IF(D15="BUY",E15,-E15))</f>
        <v>1708</v>
      </c>
      <c r="J15" s="18" t="n">
        <f aca="false">IF(E15="","",I15*F15)</f>
        <v>200006.8</v>
      </c>
    </row>
    <row r="16" customFormat="false" ht="15" hidden="false" customHeight="false" outlineLevel="0" collapsed="false">
      <c r="A16" s="11" t="s">
        <v>222</v>
      </c>
      <c r="B16" s="14" t="n">
        <v>46101</v>
      </c>
      <c r="C16" s="11" t="s">
        <v>95</v>
      </c>
      <c r="D16" s="11" t="s">
        <v>193</v>
      </c>
      <c r="E16" s="15" t="n">
        <v>213</v>
      </c>
      <c r="F16" s="16" t="n">
        <v>470</v>
      </c>
      <c r="G16" s="11" t="s">
        <v>223</v>
      </c>
      <c r="H16" s="11" t="s">
        <v>195</v>
      </c>
      <c r="I16" s="17" t="n">
        <f aca="false">IF(E16="","",IF(D16="BUY",E16,-E16))</f>
        <v>213</v>
      </c>
      <c r="J16" s="18" t="n">
        <f aca="false">IF(E16="","",I16*F16)</f>
        <v>100110</v>
      </c>
    </row>
    <row r="17" customFormat="false" ht="15" hidden="false" customHeight="false" outlineLevel="0" collapsed="false">
      <c r="A17" s="11" t="s">
        <v>224</v>
      </c>
      <c r="B17" s="14" t="n">
        <v>46101</v>
      </c>
      <c r="C17" s="11" t="s">
        <v>100</v>
      </c>
      <c r="D17" s="11" t="s">
        <v>193</v>
      </c>
      <c r="E17" s="15" t="n">
        <v>220</v>
      </c>
      <c r="F17" s="16" t="n">
        <v>1365.4</v>
      </c>
      <c r="G17" s="11" t="s">
        <v>225</v>
      </c>
      <c r="H17" s="11" t="s">
        <v>195</v>
      </c>
      <c r="I17" s="17" t="n">
        <f aca="false">IF(E17="","",IF(D17="BUY",E17,-E17))</f>
        <v>220</v>
      </c>
      <c r="J17" s="18" t="n">
        <f aca="false">IF(E17="","",I17*F17)</f>
        <v>300388</v>
      </c>
    </row>
    <row r="18" customFormat="false" ht="15" hidden="false" customHeight="false" outlineLevel="0" collapsed="false">
      <c r="A18" s="11" t="s">
        <v>226</v>
      </c>
      <c r="B18" s="14" t="n">
        <v>46101</v>
      </c>
      <c r="C18" s="11" t="s">
        <v>104</v>
      </c>
      <c r="D18" s="11" t="s">
        <v>193</v>
      </c>
      <c r="E18" s="15" t="n">
        <v>126</v>
      </c>
      <c r="F18" s="16" t="n">
        <v>3165.9</v>
      </c>
      <c r="G18" s="11" t="s">
        <v>227</v>
      </c>
      <c r="H18" s="11" t="s">
        <v>195</v>
      </c>
      <c r="I18" s="17" t="n">
        <f aca="false">IF(E18="","",IF(D18="BUY",E18,-E18))</f>
        <v>126</v>
      </c>
      <c r="J18" s="18" t="n">
        <f aca="false">IF(E18="","",I18*F18)</f>
        <v>398903.4</v>
      </c>
    </row>
    <row r="19" customFormat="false" ht="15" hidden="false" customHeight="false" outlineLevel="0" collapsed="false">
      <c r="A19" s="11" t="s">
        <v>228</v>
      </c>
      <c r="B19" s="14" t="n">
        <v>46101</v>
      </c>
      <c r="C19" s="11" t="s">
        <v>109</v>
      </c>
      <c r="D19" s="11" t="s">
        <v>193</v>
      </c>
      <c r="E19" s="15" t="n">
        <v>2366</v>
      </c>
      <c r="F19" s="16" t="n">
        <v>105.66</v>
      </c>
      <c r="G19" s="11" t="s">
        <v>229</v>
      </c>
      <c r="H19" s="11" t="s">
        <v>195</v>
      </c>
      <c r="I19" s="17" t="n">
        <f aca="false">IF(E19="","",IF(D19="BUY",E19,-E19))</f>
        <v>2366</v>
      </c>
      <c r="J19" s="18" t="n">
        <f aca="false">IF(E19="","",I19*F19)</f>
        <v>249991.56</v>
      </c>
    </row>
    <row r="20" customFormat="false" ht="15" hidden="false" customHeight="false" outlineLevel="0" collapsed="false">
      <c r="A20" s="11" t="s">
        <v>230</v>
      </c>
      <c r="B20" s="14" t="n">
        <v>46101</v>
      </c>
      <c r="C20" s="11" t="s">
        <v>114</v>
      </c>
      <c r="D20" s="11" t="s">
        <v>193</v>
      </c>
      <c r="E20" s="15" t="n">
        <v>487</v>
      </c>
      <c r="F20" s="16" t="n">
        <v>615.55</v>
      </c>
      <c r="G20" s="11" t="s">
        <v>231</v>
      </c>
      <c r="H20" s="11" t="s">
        <v>195</v>
      </c>
      <c r="I20" s="17" t="n">
        <f aca="false">IF(E20="","",IF(D20="BUY",E20,-E20))</f>
        <v>487</v>
      </c>
      <c r="J20" s="18" t="n">
        <f aca="false">IF(E20="","",I20*F20)</f>
        <v>299772.85</v>
      </c>
    </row>
    <row r="21" customFormat="false" ht="15" hidden="false" customHeight="false" outlineLevel="0" collapsed="false">
      <c r="A21" s="11" t="s">
        <v>232</v>
      </c>
      <c r="B21" s="14" t="n">
        <v>46101</v>
      </c>
      <c r="C21" s="11" t="s">
        <v>117</v>
      </c>
      <c r="D21" s="11" t="s">
        <v>193</v>
      </c>
      <c r="E21" s="15" t="n">
        <v>1076</v>
      </c>
      <c r="F21" s="16" t="n">
        <v>232.29</v>
      </c>
      <c r="G21" s="11" t="s">
        <v>233</v>
      </c>
      <c r="H21" s="11" t="s">
        <v>195</v>
      </c>
      <c r="I21" s="17" t="n">
        <f aca="false">IF(E21="","",IF(D21="BUY",E21,-E21))</f>
        <v>1076</v>
      </c>
      <c r="J21" s="18" t="n">
        <f aca="false">IF(E21="","",I21*F21)</f>
        <v>249944.04</v>
      </c>
    </row>
    <row r="22" customFormat="false" ht="15" hidden="false" customHeight="false" outlineLevel="0" collapsed="false">
      <c r="A22" s="11" t="s">
        <v>234</v>
      </c>
      <c r="B22" s="14" t="n">
        <v>46101</v>
      </c>
      <c r="C22" s="11" t="s">
        <v>121</v>
      </c>
      <c r="D22" s="11" t="s">
        <v>193</v>
      </c>
      <c r="E22" s="15" t="n">
        <v>271</v>
      </c>
      <c r="F22" s="16" t="n">
        <v>1846.1</v>
      </c>
      <c r="G22" s="11" t="s">
        <v>235</v>
      </c>
      <c r="H22" s="11" t="s">
        <v>195</v>
      </c>
      <c r="I22" s="17" t="n">
        <f aca="false">IF(E22="","",IF(D22="BUY",E22,-E22))</f>
        <v>271</v>
      </c>
      <c r="J22" s="18" t="n">
        <f aca="false">IF(E22="","",I22*F22)</f>
        <v>500293.1</v>
      </c>
    </row>
    <row r="23" customFormat="false" ht="15" hidden="false" customHeight="false" outlineLevel="0" collapsed="false">
      <c r="A23" s="11" t="s">
        <v>236</v>
      </c>
      <c r="B23" s="14" t="n">
        <v>46101</v>
      </c>
      <c r="C23" s="11" t="s">
        <v>126</v>
      </c>
      <c r="D23" s="11" t="s">
        <v>193</v>
      </c>
      <c r="E23" s="15" t="n">
        <v>4773</v>
      </c>
      <c r="F23" s="16" t="n">
        <v>146.65</v>
      </c>
      <c r="G23" s="11" t="s">
        <v>237</v>
      </c>
      <c r="H23" s="11" t="s">
        <v>195</v>
      </c>
      <c r="I23" s="17" t="n">
        <f aca="false">IF(E23="","",IF(D23="BUY",E23,-E23))</f>
        <v>4773</v>
      </c>
      <c r="J23" s="18" t="n">
        <f aca="false">IF(E23="","",I23*F23)</f>
        <v>699960.45</v>
      </c>
    </row>
    <row r="24" customFormat="false" ht="15" hidden="false" customHeight="false" outlineLevel="0" collapsed="false">
      <c r="A24" s="11" t="s">
        <v>238</v>
      </c>
      <c r="B24" s="14" t="n">
        <v>46101</v>
      </c>
      <c r="C24" s="11" t="s">
        <v>130</v>
      </c>
      <c r="D24" s="11" t="s">
        <v>193</v>
      </c>
      <c r="E24" s="15" t="n">
        <v>73</v>
      </c>
      <c r="F24" s="16" t="n">
        <v>4106.6</v>
      </c>
      <c r="G24" s="11" t="s">
        <v>239</v>
      </c>
      <c r="H24" s="11" t="s">
        <v>195</v>
      </c>
      <c r="I24" s="17" t="n">
        <f aca="false">IF(E24="","",IF(D24="BUY",E24,-E24))</f>
        <v>73</v>
      </c>
      <c r="J24" s="18" t="n">
        <f aca="false">IF(E24="","",I24*F24)</f>
        <v>299781.8</v>
      </c>
    </row>
    <row r="25" customFormat="false" ht="15" hidden="false" customHeight="false" outlineLevel="0" collapsed="false">
      <c r="A25" s="11" t="s">
        <v>240</v>
      </c>
      <c r="B25" s="14" t="n">
        <v>46101</v>
      </c>
      <c r="C25" s="11" t="s">
        <v>135</v>
      </c>
      <c r="D25" s="11" t="s">
        <v>193</v>
      </c>
      <c r="E25" s="15" t="n">
        <v>667</v>
      </c>
      <c r="F25" s="16" t="n">
        <v>299.95</v>
      </c>
      <c r="G25" s="11" t="s">
        <v>241</v>
      </c>
      <c r="H25" s="11" t="s">
        <v>195</v>
      </c>
      <c r="I25" s="17" t="n">
        <f aca="false">IF(E25="","",IF(D25="BUY",E25,-E25))</f>
        <v>667</v>
      </c>
      <c r="J25" s="18" t="n">
        <f aca="false">IF(E25="","",I25*F25)</f>
        <v>200066.65</v>
      </c>
    </row>
    <row r="26" customFormat="false" ht="15" hidden="false" customHeight="false" outlineLevel="0" collapsed="false">
      <c r="A26" s="11" t="s">
        <v>242</v>
      </c>
      <c r="B26" s="14" t="n">
        <v>46101</v>
      </c>
      <c r="C26" s="11" t="s">
        <v>140</v>
      </c>
      <c r="D26" s="11" t="s">
        <v>193</v>
      </c>
      <c r="E26" s="15" t="n">
        <v>25</v>
      </c>
      <c r="F26" s="16" t="n">
        <v>2026.8</v>
      </c>
      <c r="G26" s="11" t="s">
        <v>243</v>
      </c>
      <c r="H26" s="11" t="s">
        <v>195</v>
      </c>
      <c r="I26" s="17" t="n">
        <f aca="false">IF(E26="","",IF(D26="BUY",E26,-E26))</f>
        <v>25</v>
      </c>
      <c r="J26" s="18" t="n">
        <f aca="false">IF(E26="","",I26*F26)</f>
        <v>50670</v>
      </c>
    </row>
    <row r="27" customFormat="false" ht="15" hidden="false" customHeight="false" outlineLevel="0" collapsed="false">
      <c r="A27" s="11" t="s">
        <v>244</v>
      </c>
      <c r="B27" s="14" t="n">
        <v>46101</v>
      </c>
      <c r="C27" s="11" t="s">
        <v>145</v>
      </c>
      <c r="D27" s="11" t="s">
        <v>193</v>
      </c>
      <c r="E27" s="15" t="n">
        <v>9</v>
      </c>
      <c r="F27" s="16" t="n">
        <v>21585</v>
      </c>
      <c r="G27" s="11" t="s">
        <v>245</v>
      </c>
      <c r="H27" s="11" t="s">
        <v>195</v>
      </c>
      <c r="I27" s="17" t="n">
        <f aca="false">IF(E27="","",IF(D27="BUY",E27,-E27))</f>
        <v>9</v>
      </c>
      <c r="J27" s="18" t="n">
        <f aca="false">IF(E27="","",I27*F27)</f>
        <v>194265</v>
      </c>
    </row>
    <row r="28" customFormat="false" ht="15" hidden="false" customHeight="false" outlineLevel="0" collapsed="false">
      <c r="A28" s="11" t="s">
        <v>246</v>
      </c>
      <c r="B28" s="14" t="n">
        <v>46101</v>
      </c>
      <c r="C28" s="11" t="s">
        <v>149</v>
      </c>
      <c r="D28" s="11" t="s">
        <v>193</v>
      </c>
      <c r="E28" s="15" t="n">
        <v>36</v>
      </c>
      <c r="F28" s="16" t="n">
        <v>6909</v>
      </c>
      <c r="G28" s="11" t="s">
        <v>247</v>
      </c>
      <c r="H28" s="11" t="s">
        <v>195</v>
      </c>
      <c r="I28" s="17" t="n">
        <f aca="false">IF(E28="","",IF(D28="BUY",E28,-E28))</f>
        <v>36</v>
      </c>
      <c r="J28" s="18" t="n">
        <f aca="false">IF(E28="","",I28*F28)</f>
        <v>248724</v>
      </c>
    </row>
    <row r="29" customFormat="false" ht="15" hidden="false" customHeight="false" outlineLevel="0" collapsed="false">
      <c r="A29" s="11" t="s">
        <v>248</v>
      </c>
      <c r="B29" s="14" t="n">
        <v>46101</v>
      </c>
      <c r="C29" s="11" t="s">
        <v>153</v>
      </c>
      <c r="D29" s="11" t="s">
        <v>193</v>
      </c>
      <c r="E29" s="15" t="n">
        <v>82</v>
      </c>
      <c r="F29" s="16" t="n">
        <v>3066.1</v>
      </c>
      <c r="G29" s="11" t="s">
        <v>249</v>
      </c>
      <c r="H29" s="11" t="s">
        <v>195</v>
      </c>
      <c r="I29" s="17" t="n">
        <f aca="false">IF(E29="","",IF(D29="BUY",E29,-E29))</f>
        <v>82</v>
      </c>
      <c r="J29" s="18" t="n">
        <f aca="false">IF(E29="","",I29*F29)</f>
        <v>251420.2</v>
      </c>
    </row>
    <row r="30" customFormat="false" ht="15" hidden="false" customHeight="false" outlineLevel="0" collapsed="false">
      <c r="A30" s="11" t="s">
        <v>250</v>
      </c>
      <c r="B30" s="14" t="n">
        <v>46101</v>
      </c>
      <c r="C30" s="11" t="s">
        <v>157</v>
      </c>
      <c r="D30" s="11" t="s">
        <v>193</v>
      </c>
      <c r="E30" s="15" t="n">
        <v>476</v>
      </c>
      <c r="F30" s="16" t="n">
        <v>420.55</v>
      </c>
      <c r="G30" s="11" t="s">
        <v>251</v>
      </c>
      <c r="H30" s="11" t="s">
        <v>195</v>
      </c>
      <c r="I30" s="17" t="n">
        <f aca="false">IF(E30="","",IF(D30="BUY",E30,-E30))</f>
        <v>476</v>
      </c>
      <c r="J30" s="18" t="n">
        <f aca="false">IF(E30="","",I30*F30)</f>
        <v>200181.8</v>
      </c>
    </row>
    <row r="31" customFormat="false" ht="15" hidden="false" customHeight="false" outlineLevel="0" collapsed="false">
      <c r="A31" s="11" t="s">
        <v>252</v>
      </c>
      <c r="B31" s="14" t="n">
        <v>46101</v>
      </c>
      <c r="C31" s="11" t="s">
        <v>162</v>
      </c>
      <c r="D31" s="11" t="s">
        <v>193</v>
      </c>
      <c r="E31" s="15" t="n">
        <v>58</v>
      </c>
      <c r="F31" s="16" t="n">
        <v>3434.8</v>
      </c>
      <c r="G31" s="11" t="s">
        <v>253</v>
      </c>
      <c r="H31" s="11" t="s">
        <v>195</v>
      </c>
      <c r="I31" s="17" t="n">
        <f aca="false">IF(E31="","",IF(D31="BUY",E31,-E31))</f>
        <v>58</v>
      </c>
      <c r="J31" s="18" t="n">
        <f aca="false">IF(E31="","",I31*F31)</f>
        <v>199218.4</v>
      </c>
    </row>
    <row r="32" customFormat="false" ht="15" hidden="false" customHeight="false" outlineLevel="0" collapsed="false">
      <c r="A32" s="11" t="s">
        <v>254</v>
      </c>
      <c r="B32" s="14" t="n">
        <v>46101</v>
      </c>
      <c r="C32" s="11" t="s">
        <v>167</v>
      </c>
      <c r="D32" s="11" t="s">
        <v>193</v>
      </c>
      <c r="E32" s="15" t="n">
        <v>298</v>
      </c>
      <c r="F32" s="16" t="n">
        <v>336.25</v>
      </c>
      <c r="G32" s="11" t="s">
        <v>255</v>
      </c>
      <c r="H32" s="11" t="s">
        <v>195</v>
      </c>
      <c r="I32" s="17" t="n">
        <f aca="false">IF(E32="","",IF(D32="BUY",E32,-E32))</f>
        <v>298</v>
      </c>
      <c r="J32" s="18" t="n">
        <f aca="false">IF(E32="","",I32*F32)</f>
        <v>100202.5</v>
      </c>
    </row>
    <row r="33" customFormat="false" ht="15" hidden="false" customHeight="false" outlineLevel="0" collapsed="false">
      <c r="A33" s="11" t="s">
        <v>256</v>
      </c>
      <c r="B33" s="14" t="n">
        <v>46101</v>
      </c>
      <c r="C33" s="11" t="s">
        <v>173</v>
      </c>
      <c r="D33" s="11" t="s">
        <v>193</v>
      </c>
      <c r="E33" s="15" t="n">
        <v>298</v>
      </c>
      <c r="F33" s="16" t="n">
        <v>84.0625</v>
      </c>
      <c r="G33" s="11" t="s">
        <v>257</v>
      </c>
      <c r="H33" s="11" t="s">
        <v>195</v>
      </c>
      <c r="I33" s="17" t="n">
        <f aca="false">IF(E33="","",IF(D33="BUY",E33,-E33))</f>
        <v>298</v>
      </c>
      <c r="J33" s="18" t="n">
        <f aca="false">IF(E33="","",I33*F33)</f>
        <v>25050.625</v>
      </c>
    </row>
    <row r="34" customFormat="false" ht="15" hidden="false" customHeight="false" outlineLevel="0" collapsed="false">
      <c r="A34" s="11" t="s">
        <v>258</v>
      </c>
      <c r="B34" s="14" t="n">
        <v>46101</v>
      </c>
      <c r="C34" s="11" t="s">
        <v>177</v>
      </c>
      <c r="D34" s="11" t="s">
        <v>193</v>
      </c>
      <c r="E34" s="15" t="n">
        <v>298</v>
      </c>
      <c r="F34" s="16" t="n">
        <v>84.0625</v>
      </c>
      <c r="G34" s="11" t="s">
        <v>259</v>
      </c>
      <c r="H34" s="11" t="s">
        <v>195</v>
      </c>
      <c r="I34" s="17" t="n">
        <f aca="false">IF(E34="","",IF(D34="BUY",E34,-E34))</f>
        <v>298</v>
      </c>
      <c r="J34" s="18" t="n">
        <f aca="false">IF(E34="","",I34*F34)</f>
        <v>25050.625</v>
      </c>
    </row>
    <row r="35" customFormat="false" ht="15" hidden="false" customHeight="false" outlineLevel="0" collapsed="false">
      <c r="A35" s="11" t="s">
        <v>260</v>
      </c>
      <c r="B35" s="14" t="n">
        <v>46101</v>
      </c>
      <c r="C35" s="11" t="s">
        <v>179</v>
      </c>
      <c r="D35" s="11" t="s">
        <v>193</v>
      </c>
      <c r="E35" s="15" t="n">
        <v>298</v>
      </c>
      <c r="F35" s="16" t="n">
        <v>84.0625</v>
      </c>
      <c r="G35" s="11" t="s">
        <v>261</v>
      </c>
      <c r="H35" s="11" t="s">
        <v>195</v>
      </c>
      <c r="I35" s="17" t="n">
        <f aca="false">IF(E35="","",IF(D35="BUY",E35,-E35))</f>
        <v>298</v>
      </c>
      <c r="J35" s="18" t="n">
        <f aca="false">IF(E35="","",I35*F35)</f>
        <v>25050.625</v>
      </c>
    </row>
    <row r="36" customFormat="false" ht="15" hidden="false" customHeight="false" outlineLevel="0" collapsed="false">
      <c r="A36" s="11" t="s">
        <v>262</v>
      </c>
      <c r="B36" s="14" t="n">
        <v>46101</v>
      </c>
      <c r="C36" s="11" t="s">
        <v>181</v>
      </c>
      <c r="D36" s="11" t="s">
        <v>193</v>
      </c>
      <c r="E36" s="15" t="n">
        <v>298</v>
      </c>
      <c r="F36" s="16" t="n">
        <v>84.0625</v>
      </c>
      <c r="G36" s="11" t="s">
        <v>263</v>
      </c>
      <c r="H36" s="11" t="s">
        <v>195</v>
      </c>
      <c r="I36" s="17" t="n">
        <f aca="false">IF(E36="","",IF(D36="BUY",E36,-E36))</f>
        <v>298</v>
      </c>
      <c r="J36" s="18" t="n">
        <f aca="false">IF(E36="","",I36*F36)</f>
        <v>25050.625</v>
      </c>
    </row>
    <row r="37" customFormat="false" ht="15" hidden="false" customHeight="false" outlineLevel="0" collapsed="false">
      <c r="I37" s="17" t="str">
        <f aca="false">IF(E37="","",IF(D37="BUY",E37,-E37))</f>
        <v/>
      </c>
      <c r="J37" s="18" t="str">
        <f aca="false">IF(E37="","",I37*F37)</f>
        <v/>
      </c>
    </row>
    <row r="38" customFormat="false" ht="15" hidden="false" customHeight="false" outlineLevel="0" collapsed="false">
      <c r="I38" s="17" t="str">
        <f aca="false">IF(E38="","",IF(D38="BUY",E38,-E38))</f>
        <v/>
      </c>
      <c r="J38" s="18" t="str">
        <f aca="false">IF(E38="","",I38*F38)</f>
        <v/>
      </c>
    </row>
    <row r="39" customFormat="false" ht="15" hidden="false" customHeight="false" outlineLevel="0" collapsed="false">
      <c r="I39" s="17" t="str">
        <f aca="false">IF(E39="","",IF(D39="BUY",E39,-E39))</f>
        <v/>
      </c>
      <c r="J39" s="18" t="str">
        <f aca="false">IF(E39="","",I39*F39)</f>
        <v/>
      </c>
    </row>
    <row r="40" customFormat="false" ht="15" hidden="false" customHeight="false" outlineLevel="0" collapsed="false">
      <c r="I40" s="17" t="str">
        <f aca="false">IF(E40="","",IF(D40="BUY",E40,-E40))</f>
        <v/>
      </c>
      <c r="J40" s="18" t="str">
        <f aca="false">IF(E40="","",I40*F40)</f>
        <v/>
      </c>
    </row>
    <row r="41" customFormat="false" ht="15" hidden="false" customHeight="false" outlineLevel="0" collapsed="false">
      <c r="I41" s="17" t="str">
        <f aca="false">IF(E41="","",IF(D41="BUY",E41,-E41))</f>
        <v/>
      </c>
      <c r="J41" s="18" t="str">
        <f aca="false">IF(E41="","",I41*F41)</f>
        <v/>
      </c>
    </row>
    <row r="42" customFormat="false" ht="15" hidden="false" customHeight="false" outlineLevel="0" collapsed="false">
      <c r="I42" s="17" t="str">
        <f aca="false">IF(E42="","",IF(D42="BUY",E42,-E42))</f>
        <v/>
      </c>
      <c r="J42" s="18" t="str">
        <f aca="false">IF(E42="","",I42*F42)</f>
        <v/>
      </c>
    </row>
    <row r="43" customFormat="false" ht="15" hidden="false" customHeight="false" outlineLevel="0" collapsed="false">
      <c r="I43" s="17" t="str">
        <f aca="false">IF(E43="","",IF(D43="BUY",E43,-E43))</f>
        <v/>
      </c>
      <c r="J43" s="18" t="str">
        <f aca="false">IF(E43="","",I43*F43)</f>
        <v/>
      </c>
    </row>
    <row r="44" customFormat="false" ht="15" hidden="false" customHeight="false" outlineLevel="0" collapsed="false">
      <c r="I44" s="17" t="str">
        <f aca="false">IF(E44="","",IF(D44="BUY",E44,-E44))</f>
        <v/>
      </c>
      <c r="J44" s="18" t="str">
        <f aca="false">IF(E44="","",I44*F44)</f>
        <v/>
      </c>
    </row>
    <row r="45" customFormat="false" ht="15" hidden="false" customHeight="false" outlineLevel="0" collapsed="false">
      <c r="I45" s="17" t="str">
        <f aca="false">IF(E45="","",IF(D45="BUY",E45,-E45))</f>
        <v/>
      </c>
      <c r="J45" s="18" t="str">
        <f aca="false">IF(E45="","",I45*F45)</f>
        <v/>
      </c>
    </row>
    <row r="46" customFormat="false" ht="15" hidden="false" customHeight="false" outlineLevel="0" collapsed="false">
      <c r="I46" s="17" t="str">
        <f aca="false">IF(E46="","",IF(D46="BUY",E46,-E46))</f>
        <v/>
      </c>
      <c r="J46" s="18" t="str">
        <f aca="false">IF(E46="","",I46*F46)</f>
        <v/>
      </c>
    </row>
    <row r="47" customFormat="false" ht="15" hidden="false" customHeight="false" outlineLevel="0" collapsed="false">
      <c r="I47" s="17" t="str">
        <f aca="false">IF(E47="","",IF(D47="BUY",E47,-E47))</f>
        <v/>
      </c>
      <c r="J47" s="18" t="str">
        <f aca="false">IF(E47="","",I47*F47)</f>
        <v/>
      </c>
    </row>
    <row r="48" customFormat="false" ht="15" hidden="false" customHeight="false" outlineLevel="0" collapsed="false">
      <c r="I48" s="17" t="str">
        <f aca="false">IF(E48="","",IF(D48="BUY",E48,-E48))</f>
        <v/>
      </c>
      <c r="J48" s="18" t="str">
        <f aca="false">IF(E48="","",I48*F48)</f>
        <v/>
      </c>
    </row>
    <row r="49" customFormat="false" ht="15" hidden="false" customHeight="false" outlineLevel="0" collapsed="false">
      <c r="I49" s="17" t="str">
        <f aca="false">IF(E49="","",IF(D49="BUY",E49,-E49))</f>
        <v/>
      </c>
      <c r="J49" s="18" t="str">
        <f aca="false">IF(E49="","",I49*F49)</f>
        <v/>
      </c>
    </row>
    <row r="50" customFormat="false" ht="15" hidden="false" customHeight="false" outlineLevel="0" collapsed="false">
      <c r="I50" s="17" t="str">
        <f aca="false">IF(E50="","",IF(D50="BUY",E50,-E50))</f>
        <v/>
      </c>
      <c r="J50" s="18" t="str">
        <f aca="false">IF(E50="","",I50*F50)</f>
        <v/>
      </c>
    </row>
    <row r="51" customFormat="false" ht="15" hidden="false" customHeight="false" outlineLevel="0" collapsed="false">
      <c r="I51" s="17" t="str">
        <f aca="false">IF(E51="","",IF(D51="BUY",E51,-E51))</f>
        <v/>
      </c>
      <c r="J51" s="18" t="str">
        <f aca="false">IF(E51="","",I51*F51)</f>
        <v/>
      </c>
    </row>
    <row r="52" customFormat="false" ht="15" hidden="false" customHeight="false" outlineLevel="0" collapsed="false">
      <c r="I52" s="17" t="str">
        <f aca="false">IF(E52="","",IF(D52="BUY",E52,-E52))</f>
        <v/>
      </c>
      <c r="J52" s="18" t="str">
        <f aca="false">IF(E52="","",I52*F52)</f>
        <v/>
      </c>
    </row>
    <row r="53" customFormat="false" ht="15" hidden="false" customHeight="false" outlineLevel="0" collapsed="false">
      <c r="I53" s="17" t="str">
        <f aca="false">IF(E53="","",IF(D53="BUY",E53,-E53))</f>
        <v/>
      </c>
      <c r="J53" s="18" t="str">
        <f aca="false">IF(E53="","",I53*F53)</f>
        <v/>
      </c>
    </row>
    <row r="54" customFormat="false" ht="15" hidden="false" customHeight="false" outlineLevel="0" collapsed="false">
      <c r="I54" s="17" t="str">
        <f aca="false">IF(E54="","",IF(D54="BUY",E54,-E54))</f>
        <v/>
      </c>
      <c r="J54" s="18" t="str">
        <f aca="false">IF(E54="","",I54*F54)</f>
        <v/>
      </c>
    </row>
    <row r="55" customFormat="false" ht="15" hidden="false" customHeight="false" outlineLevel="0" collapsed="false">
      <c r="I55" s="17" t="str">
        <f aca="false">IF(E55="","",IF(D55="BUY",E55,-E55))</f>
        <v/>
      </c>
      <c r="J55" s="18" t="str">
        <f aca="false">IF(E55="","",I55*F55)</f>
        <v/>
      </c>
    </row>
    <row r="56" customFormat="false" ht="15" hidden="false" customHeight="false" outlineLevel="0" collapsed="false">
      <c r="I56" s="17" t="str">
        <f aca="false">IF(E56="","",IF(D56="BUY",E56,-E56))</f>
        <v/>
      </c>
      <c r="J56" s="18" t="str">
        <f aca="false">IF(E56="","",I56*F56)</f>
        <v/>
      </c>
    </row>
    <row r="57" customFormat="false" ht="15" hidden="false" customHeight="false" outlineLevel="0" collapsed="false">
      <c r="I57" s="17" t="str">
        <f aca="false">IF(E57="","",IF(D57="BUY",E57,-E57))</f>
        <v/>
      </c>
      <c r="J57" s="18" t="str">
        <f aca="false">IF(E57="","",I57*F57)</f>
        <v/>
      </c>
    </row>
    <row r="58" customFormat="false" ht="15" hidden="false" customHeight="false" outlineLevel="0" collapsed="false">
      <c r="I58" s="17" t="str">
        <f aca="false">IF(E58="","",IF(D58="BUY",E58,-E58))</f>
        <v/>
      </c>
      <c r="J58" s="18" t="str">
        <f aca="false">IF(E58="","",I58*F58)</f>
        <v/>
      </c>
    </row>
    <row r="59" customFormat="false" ht="15" hidden="false" customHeight="false" outlineLevel="0" collapsed="false">
      <c r="I59" s="17" t="str">
        <f aca="false">IF(E59="","",IF(D59="BUY",E59,-E59))</f>
        <v/>
      </c>
      <c r="J59" s="18" t="str">
        <f aca="false">IF(E59="","",I59*F59)</f>
        <v/>
      </c>
    </row>
    <row r="60" customFormat="false" ht="15" hidden="false" customHeight="false" outlineLevel="0" collapsed="false">
      <c r="I60" s="17" t="str">
        <f aca="false">IF(E60="","",IF(D60="BUY",E60,-E60))</f>
        <v/>
      </c>
      <c r="J60" s="18" t="str">
        <f aca="false">IF(E60="","",I60*F60)</f>
        <v/>
      </c>
    </row>
    <row r="61" customFormat="false" ht="15" hidden="false" customHeight="false" outlineLevel="0" collapsed="false">
      <c r="I61" s="17" t="str">
        <f aca="false">IF(E61="","",IF(D61="BUY",E61,-E61))</f>
        <v/>
      </c>
      <c r="J61" s="18" t="str">
        <f aca="false">IF(E61="","",I61*F61)</f>
        <v/>
      </c>
    </row>
    <row r="62" customFormat="false" ht="15" hidden="false" customHeight="false" outlineLevel="0" collapsed="false">
      <c r="I62" s="17" t="str">
        <f aca="false">IF(E62="","",IF(D62="BUY",E62,-E62))</f>
        <v/>
      </c>
      <c r="J62" s="18" t="str">
        <f aca="false">IF(E62="","",I62*F62)</f>
        <v/>
      </c>
    </row>
    <row r="63" customFormat="false" ht="15" hidden="false" customHeight="false" outlineLevel="0" collapsed="false">
      <c r="I63" s="17" t="str">
        <f aca="false">IF(E63="","",IF(D63="BUY",E63,-E63))</f>
        <v/>
      </c>
      <c r="J63" s="18" t="str">
        <f aca="false">IF(E63="","",I63*F63)</f>
        <v/>
      </c>
    </row>
    <row r="64" customFormat="false" ht="15" hidden="false" customHeight="false" outlineLevel="0" collapsed="false">
      <c r="I64" s="17" t="str">
        <f aca="false">IF(E64="","",IF(D64="BUY",E64,-E64))</f>
        <v/>
      </c>
      <c r="J64" s="18" t="str">
        <f aca="false">IF(E64="","",I64*F64)</f>
        <v/>
      </c>
    </row>
    <row r="65" customFormat="false" ht="15" hidden="false" customHeight="false" outlineLevel="0" collapsed="false">
      <c r="I65" s="17" t="str">
        <f aca="false">IF(E65="","",IF(D65="BUY",E65,-E65))</f>
        <v/>
      </c>
      <c r="J65" s="18" t="str">
        <f aca="false">IF(E65="","",I65*F65)</f>
        <v/>
      </c>
    </row>
    <row r="66" customFormat="false" ht="15" hidden="false" customHeight="false" outlineLevel="0" collapsed="false">
      <c r="I66" s="17" t="str">
        <f aca="false">IF(E66="","",IF(D66="BUY",E66,-E66))</f>
        <v/>
      </c>
      <c r="J66" s="18" t="str">
        <f aca="false">IF(E66="","",I66*F66)</f>
        <v/>
      </c>
    </row>
    <row r="67" customFormat="false" ht="15" hidden="false" customHeight="false" outlineLevel="0" collapsed="false">
      <c r="I67" s="17" t="str">
        <f aca="false">IF(E67="","",IF(D67="BUY",E67,-E67))</f>
        <v/>
      </c>
      <c r="J67" s="18" t="str">
        <f aca="false">IF(E67="","",I67*F67)</f>
        <v/>
      </c>
    </row>
    <row r="68" customFormat="false" ht="15" hidden="false" customHeight="false" outlineLevel="0" collapsed="false">
      <c r="I68" s="17" t="str">
        <f aca="false">IF(E68="","",IF(D68="BUY",E68,-E68))</f>
        <v/>
      </c>
      <c r="J68" s="18" t="str">
        <f aca="false">IF(E68="","",I68*F68)</f>
        <v/>
      </c>
    </row>
    <row r="69" customFormat="false" ht="15" hidden="false" customHeight="false" outlineLevel="0" collapsed="false">
      <c r="I69" s="17" t="str">
        <f aca="false">IF(E69="","",IF(D69="BUY",E69,-E69))</f>
        <v/>
      </c>
      <c r="J69" s="18" t="str">
        <f aca="false">IF(E69="","",I69*F69)</f>
        <v/>
      </c>
    </row>
    <row r="70" customFormat="false" ht="15" hidden="false" customHeight="false" outlineLevel="0" collapsed="false">
      <c r="I70" s="17" t="str">
        <f aca="false">IF(E70="","",IF(D70="BUY",E70,-E70))</f>
        <v/>
      </c>
      <c r="J70" s="18" t="str">
        <f aca="false">IF(E70="","",I70*F70)</f>
        <v/>
      </c>
    </row>
    <row r="71" customFormat="false" ht="15" hidden="false" customHeight="false" outlineLevel="0" collapsed="false">
      <c r="I71" s="17" t="str">
        <f aca="false">IF(E71="","",IF(D71="BUY",E71,-E71))</f>
        <v/>
      </c>
      <c r="J71" s="18" t="str">
        <f aca="false">IF(E71="","",I71*F71)</f>
        <v/>
      </c>
    </row>
    <row r="72" customFormat="false" ht="15" hidden="false" customHeight="false" outlineLevel="0" collapsed="false">
      <c r="I72" s="17" t="str">
        <f aca="false">IF(E72="","",IF(D72="BUY",E72,-E72))</f>
        <v/>
      </c>
      <c r="J72" s="18" t="str">
        <f aca="false">IF(E72="","",I72*F72)</f>
        <v/>
      </c>
    </row>
    <row r="73" customFormat="false" ht="15" hidden="false" customHeight="false" outlineLevel="0" collapsed="false">
      <c r="I73" s="17" t="str">
        <f aca="false">IF(E73="","",IF(D73="BUY",E73,-E73))</f>
        <v/>
      </c>
      <c r="J73" s="18" t="str">
        <f aca="false">IF(E73="","",I73*F73)</f>
        <v/>
      </c>
    </row>
    <row r="74" customFormat="false" ht="15" hidden="false" customHeight="false" outlineLevel="0" collapsed="false">
      <c r="I74" s="17" t="str">
        <f aca="false">IF(E74="","",IF(D74="BUY",E74,-E74))</f>
        <v/>
      </c>
      <c r="J74" s="18" t="str">
        <f aca="false">IF(E74="","",I74*F74)</f>
        <v/>
      </c>
    </row>
    <row r="75" customFormat="false" ht="15" hidden="false" customHeight="false" outlineLevel="0" collapsed="false">
      <c r="I75" s="17" t="str">
        <f aca="false">IF(E75="","",IF(D75="BUY",E75,-E75))</f>
        <v/>
      </c>
      <c r="J75" s="18" t="str">
        <f aca="false">IF(E75="","",I75*F75)</f>
        <v/>
      </c>
    </row>
    <row r="76" customFormat="false" ht="15" hidden="false" customHeight="false" outlineLevel="0" collapsed="false">
      <c r="I76" s="17" t="str">
        <f aca="false">IF(E76="","",IF(D76="BUY",E76,-E76))</f>
        <v/>
      </c>
      <c r="J76" s="18" t="str">
        <f aca="false">IF(E76="","",I76*F76)</f>
        <v/>
      </c>
    </row>
    <row r="77" customFormat="false" ht="15" hidden="false" customHeight="false" outlineLevel="0" collapsed="false">
      <c r="I77" s="17" t="str">
        <f aca="false">IF(E77="","",IF(D77="BUY",E77,-E77))</f>
        <v/>
      </c>
      <c r="J77" s="18" t="str">
        <f aca="false">IF(E77="","",I77*F77)</f>
        <v/>
      </c>
    </row>
    <row r="78" customFormat="false" ht="15" hidden="false" customHeight="false" outlineLevel="0" collapsed="false">
      <c r="I78" s="17" t="str">
        <f aca="false">IF(E78="","",IF(D78="BUY",E78,-E78))</f>
        <v/>
      </c>
      <c r="J78" s="18" t="str">
        <f aca="false">IF(E78="","",I78*F78)</f>
        <v/>
      </c>
    </row>
    <row r="79" customFormat="false" ht="15" hidden="false" customHeight="false" outlineLevel="0" collapsed="false">
      <c r="I79" s="17" t="str">
        <f aca="false">IF(E79="","",IF(D79="BUY",E79,-E79))</f>
        <v/>
      </c>
      <c r="J79" s="18" t="str">
        <f aca="false">IF(E79="","",I79*F79)</f>
        <v/>
      </c>
    </row>
    <row r="80" customFormat="false" ht="15" hidden="false" customHeight="false" outlineLevel="0" collapsed="false">
      <c r="I80" s="17" t="str">
        <f aca="false">IF(E80="","",IF(D80="BUY",E80,-E80))</f>
        <v/>
      </c>
      <c r="J80" s="18" t="str">
        <f aca="false">IF(E80="","",I80*F80)</f>
        <v/>
      </c>
    </row>
    <row r="81" customFormat="false" ht="15" hidden="false" customHeight="false" outlineLevel="0" collapsed="false">
      <c r="I81" s="17" t="str">
        <f aca="false">IF(E81="","",IF(D81="BUY",E81,-E81))</f>
        <v/>
      </c>
      <c r="J81" s="18" t="str">
        <f aca="false">IF(E81="","",I81*F81)</f>
        <v/>
      </c>
    </row>
    <row r="82" customFormat="false" ht="15" hidden="false" customHeight="false" outlineLevel="0" collapsed="false">
      <c r="I82" s="17" t="str">
        <f aca="false">IF(E82="","",IF(D82="BUY",E82,-E82))</f>
        <v/>
      </c>
      <c r="J82" s="18" t="str">
        <f aca="false">IF(E82="","",I82*F82)</f>
        <v/>
      </c>
    </row>
    <row r="83" customFormat="false" ht="15" hidden="false" customHeight="false" outlineLevel="0" collapsed="false">
      <c r="I83" s="17" t="str">
        <f aca="false">IF(E83="","",IF(D83="BUY",E83,-E83))</f>
        <v/>
      </c>
      <c r="J83" s="18" t="str">
        <f aca="false">IF(E83="","",I83*F83)</f>
        <v/>
      </c>
    </row>
    <row r="84" customFormat="false" ht="15" hidden="false" customHeight="false" outlineLevel="0" collapsed="false">
      <c r="I84" s="17" t="str">
        <f aca="false">IF(E84="","",IF(D84="BUY",E84,-E84))</f>
        <v/>
      </c>
      <c r="J84" s="18" t="str">
        <f aca="false">IF(E84="","",I84*F84)</f>
        <v/>
      </c>
    </row>
    <row r="85" customFormat="false" ht="15" hidden="false" customHeight="false" outlineLevel="0" collapsed="false">
      <c r="I85" s="17" t="str">
        <f aca="false">IF(E85="","",IF(D85="BUY",E85,-E85))</f>
        <v/>
      </c>
      <c r="J85" s="18" t="str">
        <f aca="false">IF(E85="","",I85*F85)</f>
        <v/>
      </c>
    </row>
    <row r="86" customFormat="false" ht="15" hidden="false" customHeight="false" outlineLevel="0" collapsed="false">
      <c r="I86" s="17" t="str">
        <f aca="false">IF(E86="","",IF(D86="BUY",E86,-E86))</f>
        <v/>
      </c>
      <c r="J86" s="18" t="str">
        <f aca="false">IF(E86="","",I86*F86)</f>
        <v/>
      </c>
    </row>
    <row r="87" customFormat="false" ht="15" hidden="false" customHeight="false" outlineLevel="0" collapsed="false">
      <c r="I87" s="17" t="str">
        <f aca="false">IF(E87="","",IF(D87="BUY",E87,-E87))</f>
        <v/>
      </c>
      <c r="J87" s="18" t="str">
        <f aca="false">IF(E87="","",I87*F87)</f>
        <v/>
      </c>
    </row>
    <row r="88" customFormat="false" ht="15" hidden="false" customHeight="false" outlineLevel="0" collapsed="false">
      <c r="I88" s="17" t="str">
        <f aca="false">IF(E88="","",IF(D88="BUY",E88,-E88))</f>
        <v/>
      </c>
      <c r="J88" s="18" t="str">
        <f aca="false">IF(E88="","",I88*F88)</f>
        <v/>
      </c>
    </row>
    <row r="89" customFormat="false" ht="15" hidden="false" customHeight="false" outlineLevel="0" collapsed="false">
      <c r="I89" s="17" t="str">
        <f aca="false">IF(E89="","",IF(D89="BUY",E89,-E89))</f>
        <v/>
      </c>
      <c r="J89" s="18" t="str">
        <f aca="false">IF(E89="","",I89*F89)</f>
        <v/>
      </c>
    </row>
    <row r="90" customFormat="false" ht="15" hidden="false" customHeight="false" outlineLevel="0" collapsed="false">
      <c r="I90" s="17" t="str">
        <f aca="false">IF(E90="","",IF(D90="BUY",E90,-E90))</f>
        <v/>
      </c>
      <c r="J90" s="18" t="str">
        <f aca="false">IF(E90="","",I90*F90)</f>
        <v/>
      </c>
    </row>
    <row r="91" customFormat="false" ht="15" hidden="false" customHeight="false" outlineLevel="0" collapsed="false">
      <c r="I91" s="17" t="str">
        <f aca="false">IF(E91="","",IF(D91="BUY",E91,-E91))</f>
        <v/>
      </c>
      <c r="J91" s="18" t="str">
        <f aca="false">IF(E91="","",I91*F91)</f>
        <v/>
      </c>
    </row>
    <row r="92" customFormat="false" ht="15" hidden="false" customHeight="false" outlineLevel="0" collapsed="false">
      <c r="I92" s="17" t="str">
        <f aca="false">IF(E92="","",IF(D92="BUY",E92,-E92))</f>
        <v/>
      </c>
      <c r="J92" s="18" t="str">
        <f aca="false">IF(E92="","",I92*F92)</f>
        <v/>
      </c>
    </row>
    <row r="93" customFormat="false" ht="15" hidden="false" customHeight="false" outlineLevel="0" collapsed="false">
      <c r="I93" s="17" t="str">
        <f aca="false">IF(E93="","",IF(D93="BUY",E93,-E93))</f>
        <v/>
      </c>
      <c r="J93" s="18" t="str">
        <f aca="false">IF(E93="","",I93*F93)</f>
        <v/>
      </c>
    </row>
    <row r="94" customFormat="false" ht="15" hidden="false" customHeight="false" outlineLevel="0" collapsed="false">
      <c r="I94" s="17" t="str">
        <f aca="false">IF(E94="","",IF(D94="BUY",E94,-E94))</f>
        <v/>
      </c>
      <c r="J94" s="18" t="str">
        <f aca="false">IF(E94="","",I94*F94)</f>
        <v/>
      </c>
    </row>
    <row r="95" customFormat="false" ht="15" hidden="false" customHeight="false" outlineLevel="0" collapsed="false">
      <c r="I95" s="17" t="str">
        <f aca="false">IF(E95="","",IF(D95="BUY",E95,-E95))</f>
        <v/>
      </c>
      <c r="J95" s="18" t="str">
        <f aca="false">IF(E95="","",I95*F95)</f>
        <v/>
      </c>
    </row>
    <row r="96" customFormat="false" ht="15" hidden="false" customHeight="false" outlineLevel="0" collapsed="false">
      <c r="I96" s="17" t="str">
        <f aca="false">IF(E96="","",IF(D96="BUY",E96,-E96))</f>
        <v/>
      </c>
      <c r="J96" s="18" t="str">
        <f aca="false">IF(E96="","",I96*F96)</f>
        <v/>
      </c>
    </row>
    <row r="97" customFormat="false" ht="15" hidden="false" customHeight="false" outlineLevel="0" collapsed="false">
      <c r="I97" s="17" t="str">
        <f aca="false">IF(E97="","",IF(D97="BUY",E97,-E97))</f>
        <v/>
      </c>
      <c r="J97" s="18" t="str">
        <f aca="false">IF(E97="","",I97*F97)</f>
        <v/>
      </c>
    </row>
    <row r="98" customFormat="false" ht="15" hidden="false" customHeight="false" outlineLevel="0" collapsed="false">
      <c r="I98" s="17" t="str">
        <f aca="false">IF(E98="","",IF(D98="BUY",E98,-E98))</f>
        <v/>
      </c>
      <c r="J98" s="18" t="str">
        <f aca="false">IF(E98="","",I98*F98)</f>
        <v/>
      </c>
    </row>
    <row r="99" customFormat="false" ht="15" hidden="false" customHeight="false" outlineLevel="0" collapsed="false">
      <c r="I99" s="17" t="str">
        <f aca="false">IF(E99="","",IF(D99="BUY",E99,-E99))</f>
        <v/>
      </c>
      <c r="J99" s="18" t="str">
        <f aca="false">IF(E99="","",I99*F99)</f>
        <v/>
      </c>
    </row>
    <row r="100" customFormat="false" ht="15" hidden="false" customHeight="false" outlineLevel="0" collapsed="false">
      <c r="I100" s="17" t="str">
        <f aca="false">IF(E100="","",IF(D100="BUY",E100,-E100))</f>
        <v/>
      </c>
      <c r="J100" s="18" t="str">
        <f aca="false">IF(E100="","",I100*F100)</f>
        <v/>
      </c>
    </row>
    <row r="101" customFormat="false" ht="15" hidden="false" customHeight="false" outlineLevel="0" collapsed="false">
      <c r="I101" s="17" t="str">
        <f aca="false">IF(E101="","",IF(D101="BUY",E101,-E101))</f>
        <v/>
      </c>
      <c r="J101" s="18" t="str">
        <f aca="false">IF(E101="","",I101*F101)</f>
        <v/>
      </c>
    </row>
    <row r="102" customFormat="false" ht="15" hidden="false" customHeight="false" outlineLevel="0" collapsed="false">
      <c r="I102" s="17" t="str">
        <f aca="false">IF(E102="","",IF(D102="BUY",E102,-E102))</f>
        <v/>
      </c>
      <c r="J102" s="18" t="str">
        <f aca="false">IF(E102="","",I102*F102)</f>
        <v/>
      </c>
    </row>
    <row r="103" customFormat="false" ht="15" hidden="false" customHeight="false" outlineLevel="0" collapsed="false">
      <c r="I103" s="17" t="str">
        <f aca="false">IF(E103="","",IF(D103="BUY",E103,-E103))</f>
        <v/>
      </c>
      <c r="J103" s="18" t="str">
        <f aca="false">IF(E103="","",I103*F103)</f>
        <v/>
      </c>
    </row>
    <row r="104" customFormat="false" ht="15" hidden="false" customHeight="false" outlineLevel="0" collapsed="false">
      <c r="I104" s="17" t="str">
        <f aca="false">IF(E104="","",IF(D104="BUY",E104,-E104))</f>
        <v/>
      </c>
      <c r="J104" s="18" t="str">
        <f aca="false">IF(E104="","",I104*F104)</f>
        <v/>
      </c>
    </row>
    <row r="105" customFormat="false" ht="15" hidden="false" customHeight="false" outlineLevel="0" collapsed="false">
      <c r="I105" s="17" t="str">
        <f aca="false">IF(E105="","",IF(D105="BUY",E105,-E105))</f>
        <v/>
      </c>
      <c r="J105" s="18" t="str">
        <f aca="false">IF(E105="","",I105*F105)</f>
        <v/>
      </c>
    </row>
    <row r="106" customFormat="false" ht="15" hidden="false" customHeight="false" outlineLevel="0" collapsed="false">
      <c r="I106" s="17" t="str">
        <f aca="false">IF(E106="","",IF(D106="BUY",E106,-E106))</f>
        <v/>
      </c>
      <c r="J106" s="18" t="str">
        <f aca="false">IF(E106="","",I106*F106)</f>
        <v/>
      </c>
    </row>
    <row r="107" customFormat="false" ht="15" hidden="false" customHeight="false" outlineLevel="0" collapsed="false">
      <c r="I107" s="17" t="str">
        <f aca="false">IF(E107="","",IF(D107="BUY",E107,-E107))</f>
        <v/>
      </c>
      <c r="J107" s="18" t="str">
        <f aca="false">IF(E107="","",I107*F107)</f>
        <v/>
      </c>
    </row>
    <row r="108" customFormat="false" ht="15" hidden="false" customHeight="false" outlineLevel="0" collapsed="false">
      <c r="I108" s="17" t="str">
        <f aca="false">IF(E108="","",IF(D108="BUY",E108,-E108))</f>
        <v/>
      </c>
      <c r="J108" s="18" t="str">
        <f aca="false">IF(E108="","",I108*F108)</f>
        <v/>
      </c>
    </row>
    <row r="109" customFormat="false" ht="15" hidden="false" customHeight="false" outlineLevel="0" collapsed="false">
      <c r="I109" s="17" t="str">
        <f aca="false">IF(E109="","",IF(D109="BUY",E109,-E109))</f>
        <v/>
      </c>
      <c r="J109" s="18" t="str">
        <f aca="false">IF(E109="","",I109*F109)</f>
        <v/>
      </c>
    </row>
    <row r="110" customFormat="false" ht="15" hidden="false" customHeight="false" outlineLevel="0" collapsed="false">
      <c r="I110" s="17" t="str">
        <f aca="false">IF(E110="","",IF(D110="BUY",E110,-E110))</f>
        <v/>
      </c>
      <c r="J110" s="18" t="str">
        <f aca="false">IF(E110="","",I110*F110)</f>
        <v/>
      </c>
    </row>
    <row r="111" customFormat="false" ht="15" hidden="false" customHeight="false" outlineLevel="0" collapsed="false">
      <c r="I111" s="17" t="str">
        <f aca="false">IF(E111="","",IF(D111="BUY",E111,-E111))</f>
        <v/>
      </c>
      <c r="J111" s="18" t="str">
        <f aca="false">IF(E111="","",I111*F111)</f>
        <v/>
      </c>
    </row>
    <row r="112" customFormat="false" ht="15" hidden="false" customHeight="false" outlineLevel="0" collapsed="false">
      <c r="I112" s="17" t="str">
        <f aca="false">IF(E112="","",IF(D112="BUY",E112,-E112))</f>
        <v/>
      </c>
      <c r="J112" s="18" t="str">
        <f aca="false">IF(E112="","",I112*F112)</f>
        <v/>
      </c>
    </row>
    <row r="113" customFormat="false" ht="15" hidden="false" customHeight="false" outlineLevel="0" collapsed="false">
      <c r="I113" s="17" t="str">
        <f aca="false">IF(E113="","",IF(D113="BUY",E113,-E113))</f>
        <v/>
      </c>
      <c r="J113" s="18" t="str">
        <f aca="false">IF(E113="","",I113*F113)</f>
        <v/>
      </c>
    </row>
    <row r="114" customFormat="false" ht="15" hidden="false" customHeight="false" outlineLevel="0" collapsed="false">
      <c r="I114" s="17" t="str">
        <f aca="false">IF(E114="","",IF(D114="BUY",E114,-E114))</f>
        <v/>
      </c>
      <c r="J114" s="18" t="str">
        <f aca="false">IF(E114="","",I114*F114)</f>
        <v/>
      </c>
    </row>
    <row r="115" customFormat="false" ht="15" hidden="false" customHeight="false" outlineLevel="0" collapsed="false">
      <c r="I115" s="17" t="str">
        <f aca="false">IF(E115="","",IF(D115="BUY",E115,-E115))</f>
        <v/>
      </c>
      <c r="J115" s="18" t="str">
        <f aca="false">IF(E115="","",I115*F115)</f>
        <v/>
      </c>
    </row>
    <row r="116" customFormat="false" ht="15" hidden="false" customHeight="false" outlineLevel="0" collapsed="false">
      <c r="I116" s="17" t="str">
        <f aca="false">IF(E116="","",IF(D116="BUY",E116,-E116))</f>
        <v/>
      </c>
      <c r="J116" s="18" t="str">
        <f aca="false">IF(E116="","",I116*F116)</f>
        <v/>
      </c>
    </row>
    <row r="117" customFormat="false" ht="15" hidden="false" customHeight="false" outlineLevel="0" collapsed="false">
      <c r="I117" s="17" t="str">
        <f aca="false">IF(E117="","",IF(D117="BUY",E117,-E117))</f>
        <v/>
      </c>
      <c r="J117" s="18" t="str">
        <f aca="false">IF(E117="","",I117*F117)</f>
        <v/>
      </c>
    </row>
    <row r="118" customFormat="false" ht="15" hidden="false" customHeight="false" outlineLevel="0" collapsed="false">
      <c r="I118" s="17" t="str">
        <f aca="false">IF(E118="","",IF(D118="BUY",E118,-E118))</f>
        <v/>
      </c>
      <c r="J118" s="18" t="str">
        <f aca="false">IF(E118="","",I118*F118)</f>
        <v/>
      </c>
    </row>
    <row r="119" customFormat="false" ht="15" hidden="false" customHeight="false" outlineLevel="0" collapsed="false">
      <c r="I119" s="17" t="str">
        <f aca="false">IF(E119="","",IF(D119="BUY",E119,-E119))</f>
        <v/>
      </c>
      <c r="J119" s="18" t="str">
        <f aca="false">IF(E119="","",I119*F119)</f>
        <v/>
      </c>
    </row>
    <row r="120" customFormat="false" ht="15" hidden="false" customHeight="false" outlineLevel="0" collapsed="false">
      <c r="I120" s="17" t="str">
        <f aca="false">IF(E120="","",IF(D120="BUY",E120,-E120))</f>
        <v/>
      </c>
      <c r="J120" s="18" t="str">
        <f aca="false">IF(E120="","",I120*F120)</f>
        <v/>
      </c>
    </row>
    <row r="121" customFormat="false" ht="15" hidden="false" customHeight="false" outlineLevel="0" collapsed="false">
      <c r="I121" s="17" t="str">
        <f aca="false">IF(E121="","",IF(D121="BUY",E121,-E121))</f>
        <v/>
      </c>
      <c r="J121" s="18" t="str">
        <f aca="false">IF(E121="","",I121*F121)</f>
        <v/>
      </c>
    </row>
    <row r="122" customFormat="false" ht="15" hidden="false" customHeight="false" outlineLevel="0" collapsed="false">
      <c r="I122" s="17" t="str">
        <f aca="false">IF(E122="","",IF(D122="BUY",E122,-E122))</f>
        <v/>
      </c>
      <c r="J122" s="18" t="str">
        <f aca="false">IF(E122="","",I122*F122)</f>
        <v/>
      </c>
    </row>
    <row r="123" customFormat="false" ht="15" hidden="false" customHeight="false" outlineLevel="0" collapsed="false">
      <c r="I123" s="17" t="str">
        <f aca="false">IF(E123="","",IF(D123="BUY",E123,-E123))</f>
        <v/>
      </c>
      <c r="J123" s="18" t="str">
        <f aca="false">IF(E123="","",I123*F123)</f>
        <v/>
      </c>
    </row>
    <row r="124" customFormat="false" ht="15" hidden="false" customHeight="false" outlineLevel="0" collapsed="false">
      <c r="I124" s="17" t="str">
        <f aca="false">IF(E124="","",IF(D124="BUY",E124,-E124))</f>
        <v/>
      </c>
      <c r="J124" s="18" t="str">
        <f aca="false">IF(E124="","",I124*F124)</f>
        <v/>
      </c>
    </row>
    <row r="125" customFormat="false" ht="15" hidden="false" customHeight="false" outlineLevel="0" collapsed="false">
      <c r="I125" s="17" t="str">
        <f aca="false">IF(E125="","",IF(D125="BUY",E125,-E125))</f>
        <v/>
      </c>
      <c r="J125" s="18" t="str">
        <f aca="false">IF(E125="","",I125*F125)</f>
        <v/>
      </c>
    </row>
    <row r="126" customFormat="false" ht="15" hidden="false" customHeight="false" outlineLevel="0" collapsed="false">
      <c r="I126" s="17" t="str">
        <f aca="false">IF(E126="","",IF(D126="BUY",E126,-E126))</f>
        <v/>
      </c>
      <c r="J126" s="18" t="str">
        <f aca="false">IF(E126="","",I126*F126)</f>
        <v/>
      </c>
    </row>
    <row r="127" customFormat="false" ht="15" hidden="false" customHeight="false" outlineLevel="0" collapsed="false">
      <c r="I127" s="17" t="str">
        <f aca="false">IF(E127="","",IF(D127="BUY",E127,-E127))</f>
        <v/>
      </c>
      <c r="J127" s="18" t="str">
        <f aca="false">IF(E127="","",I127*F127)</f>
        <v/>
      </c>
    </row>
    <row r="128" customFormat="false" ht="15" hidden="false" customHeight="false" outlineLevel="0" collapsed="false">
      <c r="I128" s="17" t="str">
        <f aca="false">IF(E128="","",IF(D128="BUY",E128,-E128))</f>
        <v/>
      </c>
      <c r="J128" s="18" t="str">
        <f aca="false">IF(E128="","",I128*F128)</f>
        <v/>
      </c>
    </row>
    <row r="129" customFormat="false" ht="15" hidden="false" customHeight="false" outlineLevel="0" collapsed="false">
      <c r="I129" s="17" t="str">
        <f aca="false">IF(E129="","",IF(D129="BUY",E129,-E129))</f>
        <v/>
      </c>
      <c r="J129" s="18" t="str">
        <f aca="false">IF(E129="","",I129*F129)</f>
        <v/>
      </c>
    </row>
    <row r="130" customFormat="false" ht="15" hidden="false" customHeight="false" outlineLevel="0" collapsed="false">
      <c r="I130" s="17" t="str">
        <f aca="false">IF(E130="","",IF(D130="BUY",E130,-E130))</f>
        <v/>
      </c>
      <c r="J130" s="18" t="str">
        <f aca="false">IF(E130="","",I130*F130)</f>
        <v/>
      </c>
    </row>
    <row r="131" customFormat="false" ht="15" hidden="false" customHeight="false" outlineLevel="0" collapsed="false">
      <c r="I131" s="17" t="str">
        <f aca="false">IF(E131="","",IF(D131="BUY",E131,-E131))</f>
        <v/>
      </c>
      <c r="J131" s="18" t="str">
        <f aca="false">IF(E131="","",I131*F131)</f>
        <v/>
      </c>
    </row>
    <row r="132" customFormat="false" ht="15" hidden="false" customHeight="false" outlineLevel="0" collapsed="false">
      <c r="I132" s="17" t="str">
        <f aca="false">IF(E132="","",IF(D132="BUY",E132,-E132))</f>
        <v/>
      </c>
      <c r="J132" s="18" t="str">
        <f aca="false">IF(E132="","",I132*F132)</f>
        <v/>
      </c>
    </row>
    <row r="133" customFormat="false" ht="15" hidden="false" customHeight="false" outlineLevel="0" collapsed="false">
      <c r="I133" s="17" t="str">
        <f aca="false">IF(E133="","",IF(D133="BUY",E133,-E133))</f>
        <v/>
      </c>
      <c r="J133" s="18" t="str">
        <f aca="false">IF(E133="","",I133*F133)</f>
        <v/>
      </c>
    </row>
    <row r="134" customFormat="false" ht="15" hidden="false" customHeight="false" outlineLevel="0" collapsed="false">
      <c r="I134" s="17" t="str">
        <f aca="false">IF(E134="","",IF(D134="BUY",E134,-E134))</f>
        <v/>
      </c>
      <c r="J134" s="18" t="str">
        <f aca="false">IF(E134="","",I134*F134)</f>
        <v/>
      </c>
    </row>
    <row r="135" customFormat="false" ht="15" hidden="false" customHeight="false" outlineLevel="0" collapsed="false">
      <c r="I135" s="17" t="str">
        <f aca="false">IF(E135="","",IF(D135="BUY",E135,-E135))</f>
        <v/>
      </c>
      <c r="J135" s="18" t="str">
        <f aca="false">IF(E135="","",I135*F135)</f>
        <v/>
      </c>
    </row>
    <row r="136" customFormat="false" ht="15" hidden="false" customHeight="false" outlineLevel="0" collapsed="false">
      <c r="I136" s="17" t="str">
        <f aca="false">IF(E136="","",IF(D136="BUY",E136,-E136))</f>
        <v/>
      </c>
      <c r="J136" s="18" t="str">
        <f aca="false">IF(E136="","",I136*F136)</f>
        <v/>
      </c>
    </row>
    <row r="137" customFormat="false" ht="15" hidden="false" customHeight="false" outlineLevel="0" collapsed="false">
      <c r="I137" s="17" t="str">
        <f aca="false">IF(E137="","",IF(D137="BUY",E137,-E137))</f>
        <v/>
      </c>
      <c r="J137" s="18" t="str">
        <f aca="false">IF(E137="","",I137*F137)</f>
        <v/>
      </c>
    </row>
    <row r="138" customFormat="false" ht="15" hidden="false" customHeight="false" outlineLevel="0" collapsed="false">
      <c r="I138" s="17" t="str">
        <f aca="false">IF(E138="","",IF(D138="BUY",E138,-E138))</f>
        <v/>
      </c>
      <c r="J138" s="18" t="str">
        <f aca="false">IF(E138="","",I138*F138)</f>
        <v/>
      </c>
    </row>
    <row r="139" customFormat="false" ht="15" hidden="false" customHeight="false" outlineLevel="0" collapsed="false">
      <c r="I139" s="17" t="str">
        <f aca="false">IF(E139="","",IF(D139="BUY",E139,-E139))</f>
        <v/>
      </c>
      <c r="J139" s="18" t="str">
        <f aca="false">IF(E139="","",I139*F139)</f>
        <v/>
      </c>
    </row>
    <row r="140" customFormat="false" ht="15" hidden="false" customHeight="false" outlineLevel="0" collapsed="false">
      <c r="I140" s="17" t="str">
        <f aca="false">IF(E140="","",IF(D140="BUY",E140,-E140))</f>
        <v/>
      </c>
      <c r="J140" s="18" t="str">
        <f aca="false">IF(E140="","",I140*F140)</f>
        <v/>
      </c>
    </row>
    <row r="141" customFormat="false" ht="15" hidden="false" customHeight="false" outlineLevel="0" collapsed="false">
      <c r="I141" s="17" t="str">
        <f aca="false">IF(E141="","",IF(D141="BUY",E141,-E141))</f>
        <v/>
      </c>
      <c r="J141" s="18" t="str">
        <f aca="false">IF(E141="","",I141*F141)</f>
        <v/>
      </c>
    </row>
    <row r="142" customFormat="false" ht="15" hidden="false" customHeight="false" outlineLevel="0" collapsed="false">
      <c r="I142" s="17" t="str">
        <f aca="false">IF(E142="","",IF(D142="BUY",E142,-E142))</f>
        <v/>
      </c>
      <c r="J142" s="18" t="str">
        <f aca="false">IF(E142="","",I142*F142)</f>
        <v/>
      </c>
    </row>
    <row r="143" customFormat="false" ht="15" hidden="false" customHeight="false" outlineLevel="0" collapsed="false">
      <c r="I143" s="17" t="str">
        <f aca="false">IF(E143="","",IF(D143="BUY",E143,-E143))</f>
        <v/>
      </c>
      <c r="J143" s="18" t="str">
        <f aca="false">IF(E143="","",I143*F143)</f>
        <v/>
      </c>
    </row>
    <row r="144" customFormat="false" ht="15" hidden="false" customHeight="false" outlineLevel="0" collapsed="false">
      <c r="I144" s="17" t="str">
        <f aca="false">IF(E144="","",IF(D144="BUY",E144,-E144))</f>
        <v/>
      </c>
      <c r="J144" s="18" t="str">
        <f aca="false">IF(E144="","",I144*F144)</f>
        <v/>
      </c>
    </row>
    <row r="145" customFormat="false" ht="15" hidden="false" customHeight="false" outlineLevel="0" collapsed="false">
      <c r="I145" s="17" t="str">
        <f aca="false">IF(E145="","",IF(D145="BUY",E145,-E145))</f>
        <v/>
      </c>
      <c r="J145" s="18" t="str">
        <f aca="false">IF(E145="","",I145*F145)</f>
        <v/>
      </c>
    </row>
    <row r="146" customFormat="false" ht="15" hidden="false" customHeight="false" outlineLevel="0" collapsed="false">
      <c r="I146" s="17" t="str">
        <f aca="false">IF(E146="","",IF(D146="BUY",E146,-E146))</f>
        <v/>
      </c>
      <c r="J146" s="18" t="str">
        <f aca="false">IF(E146="","",I146*F146)</f>
        <v/>
      </c>
    </row>
    <row r="147" customFormat="false" ht="15" hidden="false" customHeight="false" outlineLevel="0" collapsed="false">
      <c r="I147" s="17" t="str">
        <f aca="false">IF(E147="","",IF(D147="BUY",E147,-E147))</f>
        <v/>
      </c>
      <c r="J147" s="18" t="str">
        <f aca="false">IF(E147="","",I147*F147)</f>
        <v/>
      </c>
    </row>
    <row r="148" customFormat="false" ht="15" hidden="false" customHeight="false" outlineLevel="0" collapsed="false">
      <c r="I148" s="17" t="str">
        <f aca="false">IF(E148="","",IF(D148="BUY",E148,-E148))</f>
        <v/>
      </c>
      <c r="J148" s="18" t="str">
        <f aca="false">IF(E148="","",I148*F148)</f>
        <v/>
      </c>
    </row>
    <row r="149" customFormat="false" ht="15" hidden="false" customHeight="false" outlineLevel="0" collapsed="false">
      <c r="I149" s="17" t="str">
        <f aca="false">IF(E149="","",IF(D149="BUY",E149,-E149))</f>
        <v/>
      </c>
      <c r="J149" s="18" t="str">
        <f aca="false">IF(E149="","",I149*F149)</f>
        <v/>
      </c>
    </row>
    <row r="150" customFormat="false" ht="15" hidden="false" customHeight="false" outlineLevel="0" collapsed="false">
      <c r="I150" s="17" t="str">
        <f aca="false">IF(E150="","",IF(D150="BUY",E150,-E150))</f>
        <v/>
      </c>
      <c r="J150" s="18" t="str">
        <f aca="false">IF(E150="","",I150*F150)</f>
        <v/>
      </c>
    </row>
    <row r="151" customFormat="false" ht="15" hidden="false" customHeight="false" outlineLevel="0" collapsed="false">
      <c r="I151" s="17" t="str">
        <f aca="false">IF(E151="","",IF(D151="BUY",E151,-E151))</f>
        <v/>
      </c>
      <c r="J151" s="18" t="str">
        <f aca="false">IF(E151="","",I151*F151)</f>
        <v/>
      </c>
    </row>
    <row r="152" customFormat="false" ht="15" hidden="false" customHeight="false" outlineLevel="0" collapsed="false">
      <c r="I152" s="17" t="str">
        <f aca="false">IF(E152="","",IF(D152="BUY",E152,-E152))</f>
        <v/>
      </c>
      <c r="J152" s="18" t="str">
        <f aca="false">IF(E152="","",I152*F152)</f>
        <v/>
      </c>
    </row>
    <row r="153" customFormat="false" ht="15" hidden="false" customHeight="false" outlineLevel="0" collapsed="false">
      <c r="I153" s="17" t="str">
        <f aca="false">IF(E153="","",IF(D153="BUY",E153,-E153))</f>
        <v/>
      </c>
      <c r="J153" s="18" t="str">
        <f aca="false">IF(E153="","",I153*F153)</f>
        <v/>
      </c>
    </row>
    <row r="154" customFormat="false" ht="15" hidden="false" customHeight="false" outlineLevel="0" collapsed="false">
      <c r="I154" s="17" t="str">
        <f aca="false">IF(E154="","",IF(D154="BUY",E154,-E154))</f>
        <v/>
      </c>
      <c r="J154" s="18" t="str">
        <f aca="false">IF(E154="","",I154*F154)</f>
        <v/>
      </c>
    </row>
    <row r="155" customFormat="false" ht="15" hidden="false" customHeight="false" outlineLevel="0" collapsed="false">
      <c r="I155" s="17" t="str">
        <f aca="false">IF(E155="","",IF(D155="BUY",E155,-E155))</f>
        <v/>
      </c>
      <c r="J155" s="18" t="str">
        <f aca="false">IF(E155="","",I155*F155)</f>
        <v/>
      </c>
    </row>
    <row r="156" customFormat="false" ht="15" hidden="false" customHeight="false" outlineLevel="0" collapsed="false">
      <c r="I156" s="17" t="str">
        <f aca="false">IF(E156="","",IF(D156="BUY",E156,-E156))</f>
        <v/>
      </c>
      <c r="J156" s="18" t="str">
        <f aca="false">IF(E156="","",I156*F156)</f>
        <v/>
      </c>
    </row>
    <row r="157" customFormat="false" ht="15" hidden="false" customHeight="false" outlineLevel="0" collapsed="false">
      <c r="I157" s="17" t="str">
        <f aca="false">IF(E157="","",IF(D157="BUY",E157,-E157))</f>
        <v/>
      </c>
      <c r="J157" s="18" t="str">
        <f aca="false">IF(E157="","",I157*F157)</f>
        <v/>
      </c>
    </row>
    <row r="158" customFormat="false" ht="15" hidden="false" customHeight="false" outlineLevel="0" collapsed="false">
      <c r="I158" s="17" t="str">
        <f aca="false">IF(E158="","",IF(D158="BUY",E158,-E158))</f>
        <v/>
      </c>
      <c r="J158" s="18" t="str">
        <f aca="false">IF(E158="","",I158*F158)</f>
        <v/>
      </c>
    </row>
    <row r="159" customFormat="false" ht="15" hidden="false" customHeight="false" outlineLevel="0" collapsed="false">
      <c r="I159" s="17" t="str">
        <f aca="false">IF(E159="","",IF(D159="BUY",E159,-E159))</f>
        <v/>
      </c>
      <c r="J159" s="18" t="str">
        <f aca="false">IF(E159="","",I159*F159)</f>
        <v/>
      </c>
    </row>
    <row r="160" customFormat="false" ht="15" hidden="false" customHeight="false" outlineLevel="0" collapsed="false">
      <c r="I160" s="17" t="str">
        <f aca="false">IF(E160="","",IF(D160="BUY",E160,-E160))</f>
        <v/>
      </c>
      <c r="J160" s="18" t="str">
        <f aca="false">IF(E160="","",I160*F160)</f>
        <v/>
      </c>
    </row>
    <row r="161" customFormat="false" ht="15" hidden="false" customHeight="false" outlineLevel="0" collapsed="false">
      <c r="I161" s="17" t="str">
        <f aca="false">IF(E161="","",IF(D161="BUY",E161,-E161))</f>
        <v/>
      </c>
      <c r="J161" s="18" t="str">
        <f aca="false">IF(E161="","",I161*F161)</f>
        <v/>
      </c>
    </row>
    <row r="162" customFormat="false" ht="15" hidden="false" customHeight="false" outlineLevel="0" collapsed="false">
      <c r="I162" s="17" t="str">
        <f aca="false">IF(E162="","",IF(D162="BUY",E162,-E162))</f>
        <v/>
      </c>
      <c r="J162" s="18" t="str">
        <f aca="false">IF(E162="","",I162*F162)</f>
        <v/>
      </c>
    </row>
    <row r="163" customFormat="false" ht="15" hidden="false" customHeight="false" outlineLevel="0" collapsed="false">
      <c r="I163" s="17" t="str">
        <f aca="false">IF(E163="","",IF(D163="BUY",E163,-E163))</f>
        <v/>
      </c>
      <c r="J163" s="18" t="str">
        <f aca="false">IF(E163="","",I163*F163)</f>
        <v/>
      </c>
    </row>
    <row r="164" customFormat="false" ht="15" hidden="false" customHeight="false" outlineLevel="0" collapsed="false">
      <c r="I164" s="17" t="str">
        <f aca="false">IF(E164="","",IF(D164="BUY",E164,-E164))</f>
        <v/>
      </c>
      <c r="J164" s="18" t="str">
        <f aca="false">IF(E164="","",I164*F164)</f>
        <v/>
      </c>
    </row>
    <row r="165" customFormat="false" ht="15" hidden="false" customHeight="false" outlineLevel="0" collapsed="false">
      <c r="I165" s="17" t="str">
        <f aca="false">IF(E165="","",IF(D165="BUY",E165,-E165))</f>
        <v/>
      </c>
      <c r="J165" s="18" t="str">
        <f aca="false">IF(E165="","",I165*F165)</f>
        <v/>
      </c>
    </row>
    <row r="166" customFormat="false" ht="15" hidden="false" customHeight="false" outlineLevel="0" collapsed="false">
      <c r="I166" s="17" t="str">
        <f aca="false">IF(E166="","",IF(D166="BUY",E166,-E166))</f>
        <v/>
      </c>
      <c r="J166" s="18" t="str">
        <f aca="false">IF(E166="","",I166*F166)</f>
        <v/>
      </c>
    </row>
    <row r="167" customFormat="false" ht="15" hidden="false" customHeight="false" outlineLevel="0" collapsed="false">
      <c r="I167" s="17" t="str">
        <f aca="false">IF(E167="","",IF(D167="BUY",E167,-E167))</f>
        <v/>
      </c>
      <c r="J167" s="18" t="str">
        <f aca="false">IF(E167="","",I167*F167)</f>
        <v/>
      </c>
    </row>
    <row r="168" customFormat="false" ht="15" hidden="false" customHeight="false" outlineLevel="0" collapsed="false">
      <c r="I168" s="17" t="str">
        <f aca="false">IF(E168="","",IF(D168="BUY",E168,-E168))</f>
        <v/>
      </c>
      <c r="J168" s="18" t="str">
        <f aca="false">IF(E168="","",I168*F168)</f>
        <v/>
      </c>
    </row>
    <row r="169" customFormat="false" ht="15" hidden="false" customHeight="false" outlineLevel="0" collapsed="false">
      <c r="I169" s="17" t="str">
        <f aca="false">IF(E169="","",IF(D169="BUY",E169,-E169))</f>
        <v/>
      </c>
      <c r="J169" s="18" t="str">
        <f aca="false">IF(E169="","",I169*F169)</f>
        <v/>
      </c>
    </row>
    <row r="170" customFormat="false" ht="15" hidden="false" customHeight="false" outlineLevel="0" collapsed="false">
      <c r="I170" s="17" t="str">
        <f aca="false">IF(E170="","",IF(D170="BUY",E170,-E170))</f>
        <v/>
      </c>
      <c r="J170" s="18" t="str">
        <f aca="false">IF(E170="","",I170*F170)</f>
        <v/>
      </c>
    </row>
    <row r="171" customFormat="false" ht="15" hidden="false" customHeight="false" outlineLevel="0" collapsed="false">
      <c r="I171" s="17" t="str">
        <f aca="false">IF(E171="","",IF(D171="BUY",E171,-E171))</f>
        <v/>
      </c>
      <c r="J171" s="18" t="str">
        <f aca="false">IF(E171="","",I171*F171)</f>
        <v/>
      </c>
    </row>
    <row r="172" customFormat="false" ht="15" hidden="false" customHeight="false" outlineLevel="0" collapsed="false">
      <c r="I172" s="17" t="str">
        <f aca="false">IF(E172="","",IF(D172="BUY",E172,-E172))</f>
        <v/>
      </c>
      <c r="J172" s="18" t="str">
        <f aca="false">IF(E172="","",I172*F172)</f>
        <v/>
      </c>
    </row>
    <row r="173" customFormat="false" ht="15" hidden="false" customHeight="false" outlineLevel="0" collapsed="false">
      <c r="I173" s="17" t="str">
        <f aca="false">IF(E173="","",IF(D173="BUY",E173,-E173))</f>
        <v/>
      </c>
      <c r="J173" s="18" t="str">
        <f aca="false">IF(E173="","",I173*F173)</f>
        <v/>
      </c>
    </row>
    <row r="174" customFormat="false" ht="15" hidden="false" customHeight="false" outlineLevel="0" collapsed="false">
      <c r="I174" s="17" t="str">
        <f aca="false">IF(E174="","",IF(D174="BUY",E174,-E174))</f>
        <v/>
      </c>
      <c r="J174" s="18" t="str">
        <f aca="false">IF(E174="","",I174*F174)</f>
        <v/>
      </c>
    </row>
    <row r="175" customFormat="false" ht="15" hidden="false" customHeight="false" outlineLevel="0" collapsed="false">
      <c r="I175" s="17" t="str">
        <f aca="false">IF(E175="","",IF(D175="BUY",E175,-E175))</f>
        <v/>
      </c>
      <c r="J175" s="18" t="str">
        <f aca="false">IF(E175="","",I175*F175)</f>
        <v/>
      </c>
    </row>
    <row r="176" customFormat="false" ht="15" hidden="false" customHeight="false" outlineLevel="0" collapsed="false">
      <c r="I176" s="17" t="str">
        <f aca="false">IF(E176="","",IF(D176="BUY",E176,-E176))</f>
        <v/>
      </c>
      <c r="J176" s="18" t="str">
        <f aca="false">IF(E176="","",I176*F176)</f>
        <v/>
      </c>
    </row>
    <row r="177" customFormat="false" ht="15" hidden="false" customHeight="false" outlineLevel="0" collapsed="false">
      <c r="I177" s="17" t="str">
        <f aca="false">IF(E177="","",IF(D177="BUY",E177,-E177))</f>
        <v/>
      </c>
      <c r="J177" s="18" t="str">
        <f aca="false">IF(E177="","",I177*F177)</f>
        <v/>
      </c>
    </row>
    <row r="178" customFormat="false" ht="15" hidden="false" customHeight="false" outlineLevel="0" collapsed="false">
      <c r="I178" s="17" t="str">
        <f aca="false">IF(E178="","",IF(D178="BUY",E178,-E178))</f>
        <v/>
      </c>
      <c r="J178" s="18" t="str">
        <f aca="false">IF(E178="","",I178*F178)</f>
        <v/>
      </c>
    </row>
    <row r="179" customFormat="false" ht="15" hidden="false" customHeight="false" outlineLevel="0" collapsed="false">
      <c r="I179" s="17" t="str">
        <f aca="false">IF(E179="","",IF(D179="BUY",E179,-E179))</f>
        <v/>
      </c>
      <c r="J179" s="18" t="str">
        <f aca="false">IF(E179="","",I179*F179)</f>
        <v/>
      </c>
    </row>
    <row r="180" customFormat="false" ht="15" hidden="false" customHeight="false" outlineLevel="0" collapsed="false">
      <c r="I180" s="17" t="str">
        <f aca="false">IF(E180="","",IF(D180="BUY",E180,-E180))</f>
        <v/>
      </c>
      <c r="J180" s="18" t="str">
        <f aca="false">IF(E180="","",I180*F180)</f>
        <v/>
      </c>
    </row>
    <row r="181" customFormat="false" ht="15" hidden="false" customHeight="false" outlineLevel="0" collapsed="false">
      <c r="I181" s="17" t="str">
        <f aca="false">IF(E181="","",IF(D181="BUY",E181,-E181))</f>
        <v/>
      </c>
      <c r="J181" s="18" t="str">
        <f aca="false">IF(E181="","",I181*F181)</f>
        <v/>
      </c>
    </row>
    <row r="182" customFormat="false" ht="15" hidden="false" customHeight="false" outlineLevel="0" collapsed="false">
      <c r="I182" s="17" t="str">
        <f aca="false">IF(E182="","",IF(D182="BUY",E182,-E182))</f>
        <v/>
      </c>
      <c r="J182" s="18" t="str">
        <f aca="false">IF(E182="","",I182*F182)</f>
        <v/>
      </c>
    </row>
    <row r="183" customFormat="false" ht="15" hidden="false" customHeight="false" outlineLevel="0" collapsed="false">
      <c r="I183" s="17" t="str">
        <f aca="false">IF(E183="","",IF(D183="BUY",E183,-E183))</f>
        <v/>
      </c>
      <c r="J183" s="18" t="str">
        <f aca="false">IF(E183="","",I183*F183)</f>
        <v/>
      </c>
    </row>
    <row r="184" customFormat="false" ht="15" hidden="false" customHeight="false" outlineLevel="0" collapsed="false">
      <c r="I184" s="17" t="str">
        <f aca="false">IF(E184="","",IF(D184="BUY",E184,-E184))</f>
        <v/>
      </c>
      <c r="J184" s="18" t="str">
        <f aca="false">IF(E184="","",I184*F184)</f>
        <v/>
      </c>
    </row>
    <row r="185" customFormat="false" ht="15" hidden="false" customHeight="false" outlineLevel="0" collapsed="false">
      <c r="I185" s="17" t="str">
        <f aca="false">IF(E185="","",IF(D185="BUY",E185,-E185))</f>
        <v/>
      </c>
      <c r="J185" s="18" t="str">
        <f aca="false">IF(E185="","",I185*F185)</f>
        <v/>
      </c>
    </row>
    <row r="186" customFormat="false" ht="15" hidden="false" customHeight="false" outlineLevel="0" collapsed="false">
      <c r="I186" s="17" t="str">
        <f aca="false">IF(E186="","",IF(D186="BUY",E186,-E186))</f>
        <v/>
      </c>
      <c r="J186" s="18" t="str">
        <f aca="false">IF(E186="","",I186*F186)</f>
        <v/>
      </c>
    </row>
    <row r="187" customFormat="false" ht="15" hidden="false" customHeight="false" outlineLevel="0" collapsed="false">
      <c r="I187" s="17" t="str">
        <f aca="false">IF(E187="","",IF(D187="BUY",E187,-E187))</f>
        <v/>
      </c>
      <c r="J187" s="18" t="str">
        <f aca="false">IF(E187="","",I187*F187)</f>
        <v/>
      </c>
    </row>
    <row r="188" customFormat="false" ht="15" hidden="false" customHeight="false" outlineLevel="0" collapsed="false">
      <c r="I188" s="17" t="str">
        <f aca="false">IF(E188="","",IF(D188="BUY",E188,-E188))</f>
        <v/>
      </c>
      <c r="J188" s="18" t="str">
        <f aca="false">IF(E188="","",I188*F188)</f>
        <v/>
      </c>
    </row>
    <row r="189" customFormat="false" ht="15" hidden="false" customHeight="false" outlineLevel="0" collapsed="false">
      <c r="I189" s="17" t="str">
        <f aca="false">IF(E189="","",IF(D189="BUY",E189,-E189))</f>
        <v/>
      </c>
      <c r="J189" s="18" t="str">
        <f aca="false">IF(E189="","",I189*F189)</f>
        <v/>
      </c>
    </row>
    <row r="190" customFormat="false" ht="15" hidden="false" customHeight="false" outlineLevel="0" collapsed="false">
      <c r="I190" s="17" t="str">
        <f aca="false">IF(E190="","",IF(D190="BUY",E190,-E190))</f>
        <v/>
      </c>
      <c r="J190" s="18" t="str">
        <f aca="false">IF(E190="","",I190*F190)</f>
        <v/>
      </c>
    </row>
    <row r="191" customFormat="false" ht="15" hidden="false" customHeight="false" outlineLevel="0" collapsed="false">
      <c r="I191" s="17" t="str">
        <f aca="false">IF(E191="","",IF(D191="BUY",E191,-E191))</f>
        <v/>
      </c>
      <c r="J191" s="18" t="str">
        <f aca="false">IF(E191="","",I191*F191)</f>
        <v/>
      </c>
    </row>
    <row r="192" customFormat="false" ht="15" hidden="false" customHeight="false" outlineLevel="0" collapsed="false">
      <c r="I192" s="17" t="str">
        <f aca="false">IF(E192="","",IF(D192="BUY",E192,-E192))</f>
        <v/>
      </c>
      <c r="J192" s="18" t="str">
        <f aca="false">IF(E192="","",I192*F192)</f>
        <v/>
      </c>
    </row>
    <row r="193" customFormat="false" ht="15" hidden="false" customHeight="false" outlineLevel="0" collapsed="false">
      <c r="I193" s="17" t="str">
        <f aca="false">IF(E193="","",IF(D193="BUY",E193,-E193))</f>
        <v/>
      </c>
      <c r="J193" s="18" t="str">
        <f aca="false">IF(E193="","",I193*F193)</f>
        <v/>
      </c>
    </row>
    <row r="194" customFormat="false" ht="15" hidden="false" customHeight="false" outlineLevel="0" collapsed="false">
      <c r="I194" s="17" t="str">
        <f aca="false">IF(E194="","",IF(D194="BUY",E194,-E194))</f>
        <v/>
      </c>
      <c r="J194" s="18" t="str">
        <f aca="false">IF(E194="","",I194*F194)</f>
        <v/>
      </c>
    </row>
    <row r="195" customFormat="false" ht="15" hidden="false" customHeight="false" outlineLevel="0" collapsed="false">
      <c r="I195" s="17" t="str">
        <f aca="false">IF(E195="","",IF(D195="BUY",E195,-E195))</f>
        <v/>
      </c>
      <c r="J195" s="18" t="str">
        <f aca="false">IF(E195="","",I195*F195)</f>
        <v/>
      </c>
    </row>
    <row r="196" customFormat="false" ht="15" hidden="false" customHeight="false" outlineLevel="0" collapsed="false">
      <c r="I196" s="17" t="str">
        <f aca="false">IF(E196="","",IF(D196="BUY",E196,-E196))</f>
        <v/>
      </c>
      <c r="J196" s="18" t="str">
        <f aca="false">IF(E196="","",I196*F196)</f>
        <v/>
      </c>
    </row>
    <row r="197" customFormat="false" ht="15" hidden="false" customHeight="false" outlineLevel="0" collapsed="false">
      <c r="I197" s="17" t="str">
        <f aca="false">IF(E197="","",IF(D197="BUY",E197,-E197))</f>
        <v/>
      </c>
      <c r="J197" s="18" t="str">
        <f aca="false">IF(E197="","",I197*F197)</f>
        <v/>
      </c>
    </row>
    <row r="198" customFormat="false" ht="15" hidden="false" customHeight="false" outlineLevel="0" collapsed="false">
      <c r="I198" s="17" t="str">
        <f aca="false">IF(E198="","",IF(D198="BUY",E198,-E198))</f>
        <v/>
      </c>
      <c r="J198" s="18" t="str">
        <f aca="false">IF(E198="","",I198*F198)</f>
        <v/>
      </c>
    </row>
    <row r="199" customFormat="false" ht="15" hidden="false" customHeight="false" outlineLevel="0" collapsed="false">
      <c r="I199" s="17" t="str">
        <f aca="false">IF(E199="","",IF(D199="BUY",E199,-E199))</f>
        <v/>
      </c>
      <c r="J199" s="18" t="str">
        <f aca="false">IF(E199="","",I199*F199)</f>
        <v/>
      </c>
    </row>
    <row r="200" customFormat="false" ht="15" hidden="false" customHeight="false" outlineLevel="0" collapsed="false">
      <c r="I200" s="17" t="str">
        <f aca="false">IF(E200="","",IF(D200="BUY",E200,-E200))</f>
        <v/>
      </c>
      <c r="J200" s="18" t="str">
        <f aca="false">IF(E200="","",I200*F200)</f>
        <v/>
      </c>
    </row>
    <row r="201" customFormat="false" ht="15" hidden="false" customHeight="false" outlineLevel="0" collapsed="false">
      <c r="I201" s="17" t="str">
        <f aca="false">IF(E201="","",IF(D201="BUY",E201,-E201))</f>
        <v/>
      </c>
      <c r="J201" s="18" t="str">
        <f aca="false">IF(E201="","",I201*F201)</f>
        <v/>
      </c>
    </row>
    <row r="202" customFormat="false" ht="15" hidden="false" customHeight="false" outlineLevel="0" collapsed="false">
      <c r="I202" s="17" t="str">
        <f aca="false">IF(E202="","",IF(D202="BUY",E202,-E202))</f>
        <v/>
      </c>
      <c r="J202" s="18" t="str">
        <f aca="false">IF(E202="","",I202*F202)</f>
        <v/>
      </c>
    </row>
    <row r="203" customFormat="false" ht="15" hidden="false" customHeight="false" outlineLevel="0" collapsed="false">
      <c r="I203" s="17" t="str">
        <f aca="false">IF(E203="","",IF(D203="BUY",E203,-E203))</f>
        <v/>
      </c>
      <c r="J203" s="18" t="str">
        <f aca="false">IF(E203="","",I203*F203)</f>
        <v/>
      </c>
    </row>
    <row r="204" customFormat="false" ht="15" hidden="false" customHeight="false" outlineLevel="0" collapsed="false">
      <c r="I204" s="17" t="str">
        <f aca="false">IF(E204="","",IF(D204="BUY",E204,-E204))</f>
        <v/>
      </c>
      <c r="J204" s="18" t="str">
        <f aca="false">IF(E204="","",I204*F204)</f>
        <v/>
      </c>
    </row>
    <row r="205" customFormat="false" ht="15" hidden="false" customHeight="false" outlineLevel="0" collapsed="false">
      <c r="I205" s="17" t="str">
        <f aca="false">IF(E205="","",IF(D205="BUY",E205,-E205))</f>
        <v/>
      </c>
      <c r="J205" s="18" t="str">
        <f aca="false">IF(E205="","",I205*F205)</f>
        <v/>
      </c>
    </row>
    <row r="206" customFormat="false" ht="15" hidden="false" customHeight="false" outlineLevel="0" collapsed="false">
      <c r="I206" s="17" t="str">
        <f aca="false">IF(E206="","",IF(D206="BUY",E206,-E206))</f>
        <v/>
      </c>
      <c r="J206" s="18" t="str">
        <f aca="false">IF(E206="","",I206*F206)</f>
        <v/>
      </c>
    </row>
    <row r="207" customFormat="false" ht="15" hidden="false" customHeight="false" outlineLevel="0" collapsed="false">
      <c r="I207" s="17" t="str">
        <f aca="false">IF(E207="","",IF(D207="BUY",E207,-E207))</f>
        <v/>
      </c>
      <c r="J207" s="18" t="str">
        <f aca="false">IF(E207="","",I207*F207)</f>
        <v/>
      </c>
    </row>
    <row r="208" customFormat="false" ht="15" hidden="false" customHeight="false" outlineLevel="0" collapsed="false">
      <c r="I208" s="17" t="str">
        <f aca="false">IF(E208="","",IF(D208="BUY",E208,-E208))</f>
        <v/>
      </c>
      <c r="J208" s="18" t="str">
        <f aca="false">IF(E208="","",I208*F208)</f>
        <v/>
      </c>
    </row>
    <row r="209" customFormat="false" ht="15" hidden="false" customHeight="false" outlineLevel="0" collapsed="false">
      <c r="I209" s="17" t="str">
        <f aca="false">IF(E209="","",IF(D209="BUY",E209,-E209))</f>
        <v/>
      </c>
      <c r="J209" s="18" t="str">
        <f aca="false">IF(E209="","",I209*F209)</f>
        <v/>
      </c>
    </row>
    <row r="210" customFormat="false" ht="15" hidden="false" customHeight="false" outlineLevel="0" collapsed="false">
      <c r="I210" s="17" t="str">
        <f aca="false">IF(E210="","",IF(D210="BUY",E210,-E210))</f>
        <v/>
      </c>
      <c r="J210" s="18" t="str">
        <f aca="false">IF(E210="","",I210*F210)</f>
        <v/>
      </c>
    </row>
    <row r="211" customFormat="false" ht="15" hidden="false" customHeight="false" outlineLevel="0" collapsed="false">
      <c r="I211" s="17" t="str">
        <f aca="false">IF(E211="","",IF(D211="BUY",E211,-E211))</f>
        <v/>
      </c>
      <c r="J211" s="18" t="str">
        <f aca="false">IF(E211="","",I211*F211)</f>
        <v/>
      </c>
    </row>
    <row r="212" customFormat="false" ht="15" hidden="false" customHeight="false" outlineLevel="0" collapsed="false">
      <c r="I212" s="17" t="str">
        <f aca="false">IF(E212="","",IF(D212="BUY",E212,-E212))</f>
        <v/>
      </c>
      <c r="J212" s="18" t="str">
        <f aca="false">IF(E212="","",I212*F212)</f>
        <v/>
      </c>
    </row>
    <row r="213" customFormat="false" ht="15" hidden="false" customHeight="false" outlineLevel="0" collapsed="false">
      <c r="I213" s="17" t="str">
        <f aca="false">IF(E213="","",IF(D213="BUY",E213,-E213))</f>
        <v/>
      </c>
      <c r="J213" s="18" t="str">
        <f aca="false">IF(E213="","",I213*F213)</f>
        <v/>
      </c>
    </row>
    <row r="214" customFormat="false" ht="15" hidden="false" customHeight="false" outlineLevel="0" collapsed="false">
      <c r="I214" s="17" t="str">
        <f aca="false">IF(E214="","",IF(D214="BUY",E214,-E214))</f>
        <v/>
      </c>
      <c r="J214" s="18" t="str">
        <f aca="false">IF(E214="","",I214*F214)</f>
        <v/>
      </c>
    </row>
    <row r="215" customFormat="false" ht="15" hidden="false" customHeight="false" outlineLevel="0" collapsed="false">
      <c r="I215" s="17" t="str">
        <f aca="false">IF(E215="","",IF(D215="BUY",E215,-E215))</f>
        <v/>
      </c>
      <c r="J215" s="18" t="str">
        <f aca="false">IF(E215="","",I215*F215)</f>
        <v/>
      </c>
    </row>
    <row r="216" customFormat="false" ht="15" hidden="false" customHeight="false" outlineLevel="0" collapsed="false">
      <c r="I216" s="17" t="str">
        <f aca="false">IF(E216="","",IF(D216="BUY",E216,-E216))</f>
        <v/>
      </c>
      <c r="J216" s="18" t="str">
        <f aca="false">IF(E216="","",I216*F216)</f>
        <v/>
      </c>
    </row>
    <row r="217" customFormat="false" ht="15" hidden="false" customHeight="false" outlineLevel="0" collapsed="false">
      <c r="I217" s="17" t="str">
        <f aca="false">IF(E217="","",IF(D217="BUY",E217,-E217))</f>
        <v/>
      </c>
      <c r="J217" s="18" t="str">
        <f aca="false">IF(E217="","",I217*F217)</f>
        <v/>
      </c>
    </row>
    <row r="218" customFormat="false" ht="15" hidden="false" customHeight="false" outlineLevel="0" collapsed="false">
      <c r="I218" s="17" t="str">
        <f aca="false">IF(E218="","",IF(D218="BUY",E218,-E218))</f>
        <v/>
      </c>
      <c r="J218" s="18" t="str">
        <f aca="false">IF(E218="","",I218*F218)</f>
        <v/>
      </c>
    </row>
    <row r="219" customFormat="false" ht="15" hidden="false" customHeight="false" outlineLevel="0" collapsed="false">
      <c r="I219" s="17" t="str">
        <f aca="false">IF(E219="","",IF(D219="BUY",E219,-E219))</f>
        <v/>
      </c>
      <c r="J219" s="18" t="str">
        <f aca="false">IF(E219="","",I219*F219)</f>
        <v/>
      </c>
    </row>
    <row r="220" customFormat="false" ht="15" hidden="false" customHeight="false" outlineLevel="0" collapsed="false">
      <c r="I220" s="17" t="str">
        <f aca="false">IF(E220="","",IF(D220="BUY",E220,-E220))</f>
        <v/>
      </c>
      <c r="J220" s="18" t="str">
        <f aca="false">IF(E220="","",I220*F220)</f>
        <v/>
      </c>
    </row>
    <row r="221" customFormat="false" ht="15" hidden="false" customHeight="false" outlineLevel="0" collapsed="false">
      <c r="I221" s="17" t="str">
        <f aca="false">IF(E221="","",IF(D221="BUY",E221,-E221))</f>
        <v/>
      </c>
      <c r="J221" s="18" t="str">
        <f aca="false">IF(E221="","",I221*F221)</f>
        <v/>
      </c>
    </row>
    <row r="222" customFormat="false" ht="15" hidden="false" customHeight="false" outlineLevel="0" collapsed="false">
      <c r="I222" s="17" t="str">
        <f aca="false">IF(E222="","",IF(D222="BUY",E222,-E222))</f>
        <v/>
      </c>
      <c r="J222" s="18" t="str">
        <f aca="false">IF(E222="","",I222*F222)</f>
        <v/>
      </c>
    </row>
    <row r="223" customFormat="false" ht="15" hidden="false" customHeight="false" outlineLevel="0" collapsed="false">
      <c r="I223" s="17" t="str">
        <f aca="false">IF(E223="","",IF(D223="BUY",E223,-E223))</f>
        <v/>
      </c>
      <c r="J223" s="18" t="str">
        <f aca="false">IF(E223="","",I223*F223)</f>
        <v/>
      </c>
    </row>
    <row r="224" customFormat="false" ht="15" hidden="false" customHeight="false" outlineLevel="0" collapsed="false">
      <c r="I224" s="17" t="str">
        <f aca="false">IF(E224="","",IF(D224="BUY",E224,-E224))</f>
        <v/>
      </c>
      <c r="J224" s="18" t="str">
        <f aca="false">IF(E224="","",I224*F224)</f>
        <v/>
      </c>
    </row>
    <row r="225" customFormat="false" ht="15" hidden="false" customHeight="false" outlineLevel="0" collapsed="false">
      <c r="I225" s="17" t="str">
        <f aca="false">IF(E225="","",IF(D225="BUY",E225,-E225))</f>
        <v/>
      </c>
      <c r="J225" s="18" t="str">
        <f aca="false">IF(E225="","",I225*F225)</f>
        <v/>
      </c>
    </row>
    <row r="226" customFormat="false" ht="15" hidden="false" customHeight="false" outlineLevel="0" collapsed="false">
      <c r="I226" s="17" t="str">
        <f aca="false">IF(E226="","",IF(D226="BUY",E226,-E226))</f>
        <v/>
      </c>
      <c r="J226" s="18" t="str">
        <f aca="false">IF(E226="","",I226*F226)</f>
        <v/>
      </c>
    </row>
    <row r="227" customFormat="false" ht="15" hidden="false" customHeight="false" outlineLevel="0" collapsed="false">
      <c r="I227" s="17" t="str">
        <f aca="false">IF(E227="","",IF(D227="BUY",E227,-E227))</f>
        <v/>
      </c>
      <c r="J227" s="18" t="str">
        <f aca="false">IF(E227="","",I227*F227)</f>
        <v/>
      </c>
    </row>
    <row r="228" customFormat="false" ht="15" hidden="false" customHeight="false" outlineLevel="0" collapsed="false">
      <c r="I228" s="17" t="str">
        <f aca="false">IF(E228="","",IF(D228="BUY",E228,-E228))</f>
        <v/>
      </c>
      <c r="J228" s="18" t="str">
        <f aca="false">IF(E228="","",I228*F228)</f>
        <v/>
      </c>
    </row>
    <row r="229" customFormat="false" ht="15" hidden="false" customHeight="false" outlineLevel="0" collapsed="false">
      <c r="I229" s="17" t="str">
        <f aca="false">IF(E229="","",IF(D229="BUY",E229,-E229))</f>
        <v/>
      </c>
      <c r="J229" s="18" t="str">
        <f aca="false">IF(E229="","",I229*F229)</f>
        <v/>
      </c>
    </row>
    <row r="230" customFormat="false" ht="15" hidden="false" customHeight="false" outlineLevel="0" collapsed="false">
      <c r="I230" s="17" t="str">
        <f aca="false">IF(E230="","",IF(D230="BUY",E230,-E230))</f>
        <v/>
      </c>
      <c r="J230" s="18" t="str">
        <f aca="false">IF(E230="","",I230*F230)</f>
        <v/>
      </c>
    </row>
    <row r="231" customFormat="false" ht="15" hidden="false" customHeight="false" outlineLevel="0" collapsed="false">
      <c r="I231" s="17" t="str">
        <f aca="false">IF(E231="","",IF(D231="BUY",E231,-E231))</f>
        <v/>
      </c>
      <c r="J231" s="18" t="str">
        <f aca="false">IF(E231="","",I231*F231)</f>
        <v/>
      </c>
    </row>
    <row r="232" customFormat="false" ht="15" hidden="false" customHeight="false" outlineLevel="0" collapsed="false">
      <c r="I232" s="17" t="str">
        <f aca="false">IF(E232="","",IF(D232="BUY",E232,-E232))</f>
        <v/>
      </c>
      <c r="J232" s="18" t="str">
        <f aca="false">IF(E232="","",I232*F232)</f>
        <v/>
      </c>
    </row>
    <row r="233" customFormat="false" ht="15" hidden="false" customHeight="false" outlineLevel="0" collapsed="false">
      <c r="I233" s="17" t="str">
        <f aca="false">IF(E233="","",IF(D233="BUY",E233,-E233))</f>
        <v/>
      </c>
      <c r="J233" s="18" t="str">
        <f aca="false">IF(E233="","",I233*F233)</f>
        <v/>
      </c>
    </row>
    <row r="234" customFormat="false" ht="15" hidden="false" customHeight="false" outlineLevel="0" collapsed="false">
      <c r="I234" s="17" t="str">
        <f aca="false">IF(E234="","",IF(D234="BUY",E234,-E234))</f>
        <v/>
      </c>
      <c r="J234" s="18" t="str">
        <f aca="false">IF(E234="","",I234*F234)</f>
        <v/>
      </c>
    </row>
    <row r="235" customFormat="false" ht="15" hidden="false" customHeight="false" outlineLevel="0" collapsed="false">
      <c r="I235" s="17" t="str">
        <f aca="false">IF(E235="","",IF(D235="BUY",E235,-E235))</f>
        <v/>
      </c>
      <c r="J235" s="18" t="str">
        <f aca="false">IF(E235="","",I235*F235)</f>
        <v/>
      </c>
    </row>
    <row r="236" customFormat="false" ht="15" hidden="false" customHeight="false" outlineLevel="0" collapsed="false">
      <c r="I236" s="17" t="str">
        <f aca="false">IF(E236="","",IF(D236="BUY",E236,-E236))</f>
        <v/>
      </c>
      <c r="J236" s="18" t="str">
        <f aca="false">IF(E236="","",I236*F236)</f>
        <v/>
      </c>
    </row>
    <row r="237" customFormat="false" ht="15" hidden="false" customHeight="false" outlineLevel="0" collapsed="false">
      <c r="I237" s="17" t="str">
        <f aca="false">IF(E237="","",IF(D237="BUY",E237,-E237))</f>
        <v/>
      </c>
      <c r="J237" s="18" t="str">
        <f aca="false">IF(E237="","",I237*F237)</f>
        <v/>
      </c>
    </row>
    <row r="238" customFormat="false" ht="15" hidden="false" customHeight="false" outlineLevel="0" collapsed="false">
      <c r="I238" s="17" t="str">
        <f aca="false">IF(E238="","",IF(D238="BUY",E238,-E238))</f>
        <v/>
      </c>
      <c r="J238" s="18" t="str">
        <f aca="false">IF(E238="","",I238*F238)</f>
        <v/>
      </c>
    </row>
    <row r="239" customFormat="false" ht="15" hidden="false" customHeight="false" outlineLevel="0" collapsed="false">
      <c r="I239" s="17" t="str">
        <f aca="false">IF(E239="","",IF(D239="BUY",E239,-E239))</f>
        <v/>
      </c>
      <c r="J239" s="18" t="str">
        <f aca="false">IF(E239="","",I239*F239)</f>
        <v/>
      </c>
    </row>
    <row r="240" customFormat="false" ht="15" hidden="false" customHeight="false" outlineLevel="0" collapsed="false">
      <c r="I240" s="17" t="str">
        <f aca="false">IF(E240="","",IF(D240="BUY",E240,-E240))</f>
        <v/>
      </c>
      <c r="J240" s="18" t="str">
        <f aca="false">IF(E240="","",I240*F240)</f>
        <v/>
      </c>
    </row>
    <row r="241" customFormat="false" ht="15" hidden="false" customHeight="false" outlineLevel="0" collapsed="false">
      <c r="I241" s="17" t="str">
        <f aca="false">IF(E241="","",IF(D241="BUY",E241,-E241))</f>
        <v/>
      </c>
      <c r="J241" s="18" t="str">
        <f aca="false">IF(E241="","",I241*F241)</f>
        <v/>
      </c>
    </row>
    <row r="242" customFormat="false" ht="15" hidden="false" customHeight="false" outlineLevel="0" collapsed="false">
      <c r="I242" s="17" t="str">
        <f aca="false">IF(E242="","",IF(D242="BUY",E242,-E242))</f>
        <v/>
      </c>
      <c r="J242" s="18" t="str">
        <f aca="false">IF(E242="","",I242*F242)</f>
        <v/>
      </c>
    </row>
    <row r="243" customFormat="false" ht="15" hidden="false" customHeight="false" outlineLevel="0" collapsed="false">
      <c r="I243" s="17" t="str">
        <f aca="false">IF(E243="","",IF(D243="BUY",E243,-E243))</f>
        <v/>
      </c>
      <c r="J243" s="18" t="str">
        <f aca="false">IF(E243="","",I243*F243)</f>
        <v/>
      </c>
    </row>
    <row r="244" customFormat="false" ht="15" hidden="false" customHeight="false" outlineLevel="0" collapsed="false">
      <c r="I244" s="17" t="str">
        <f aca="false">IF(E244="","",IF(D244="BUY",E244,-E244))</f>
        <v/>
      </c>
      <c r="J244" s="18" t="str">
        <f aca="false">IF(E244="","",I244*F244)</f>
        <v/>
      </c>
    </row>
    <row r="245" customFormat="false" ht="15" hidden="false" customHeight="false" outlineLevel="0" collapsed="false">
      <c r="I245" s="17" t="str">
        <f aca="false">IF(E245="","",IF(D245="BUY",E245,-E245))</f>
        <v/>
      </c>
      <c r="J245" s="18" t="str">
        <f aca="false">IF(E245="","",I245*F245)</f>
        <v/>
      </c>
    </row>
    <row r="246" customFormat="false" ht="15" hidden="false" customHeight="false" outlineLevel="0" collapsed="false">
      <c r="I246" s="17" t="str">
        <f aca="false">IF(E246="","",IF(D246="BUY",E246,-E246))</f>
        <v/>
      </c>
      <c r="J246" s="18" t="str">
        <f aca="false">IF(E246="","",I246*F246)</f>
        <v/>
      </c>
    </row>
    <row r="247" customFormat="false" ht="15" hidden="false" customHeight="false" outlineLevel="0" collapsed="false">
      <c r="I247" s="17" t="str">
        <f aca="false">IF(E247="","",IF(D247="BUY",E247,-E247))</f>
        <v/>
      </c>
      <c r="J247" s="18" t="str">
        <f aca="false">IF(E247="","",I247*F247)</f>
        <v/>
      </c>
    </row>
    <row r="248" customFormat="false" ht="15" hidden="false" customHeight="false" outlineLevel="0" collapsed="false">
      <c r="I248" s="17" t="str">
        <f aca="false">IF(E248="","",IF(D248="BUY",E248,-E248))</f>
        <v/>
      </c>
      <c r="J248" s="18" t="str">
        <f aca="false">IF(E248="","",I248*F248)</f>
        <v/>
      </c>
    </row>
    <row r="249" customFormat="false" ht="15" hidden="false" customHeight="false" outlineLevel="0" collapsed="false">
      <c r="I249" s="17" t="str">
        <f aca="false">IF(E249="","",IF(D249="BUY",E249,-E249))</f>
        <v/>
      </c>
      <c r="J249" s="18" t="str">
        <f aca="false">IF(E249="","",I249*F249)</f>
        <v/>
      </c>
    </row>
    <row r="250" customFormat="false" ht="15" hidden="false" customHeight="false" outlineLevel="0" collapsed="false">
      <c r="I250" s="17" t="str">
        <f aca="false">IF(E250="","",IF(D250="BUY",E250,-E250))</f>
        <v/>
      </c>
      <c r="J250" s="18" t="str">
        <f aca="false">IF(E250="","",I250*F250)</f>
        <v/>
      </c>
    </row>
    <row r="251" customFormat="false" ht="15" hidden="false" customHeight="false" outlineLevel="0" collapsed="false">
      <c r="I251" s="17" t="str">
        <f aca="false">IF(E251="","",IF(D251="BUY",E251,-E251))</f>
        <v/>
      </c>
      <c r="J251" s="18" t="str">
        <f aca="false">IF(E251="","",I251*F251)</f>
        <v/>
      </c>
    </row>
    <row r="252" customFormat="false" ht="15" hidden="false" customHeight="false" outlineLevel="0" collapsed="false">
      <c r="I252" s="17" t="str">
        <f aca="false">IF(E252="","",IF(D252="BUY",E252,-E252))</f>
        <v/>
      </c>
      <c r="J252" s="18" t="str">
        <f aca="false">IF(E252="","",I252*F252)</f>
        <v/>
      </c>
    </row>
    <row r="253" customFormat="false" ht="15" hidden="false" customHeight="false" outlineLevel="0" collapsed="false">
      <c r="I253" s="17" t="str">
        <f aca="false">IF(E253="","",IF(D253="BUY",E253,-E253))</f>
        <v/>
      </c>
      <c r="J253" s="18" t="str">
        <f aca="false">IF(E253="","",I253*F253)</f>
        <v/>
      </c>
    </row>
    <row r="254" customFormat="false" ht="15" hidden="false" customHeight="false" outlineLevel="0" collapsed="false">
      <c r="I254" s="17" t="str">
        <f aca="false">IF(E254="","",IF(D254="BUY",E254,-E254))</f>
        <v/>
      </c>
      <c r="J254" s="18" t="str">
        <f aca="false">IF(E254="","",I254*F254)</f>
        <v/>
      </c>
    </row>
    <row r="255" customFormat="false" ht="15" hidden="false" customHeight="false" outlineLevel="0" collapsed="false">
      <c r="I255" s="17" t="str">
        <f aca="false">IF(E255="","",IF(D255="BUY",E255,-E255))</f>
        <v/>
      </c>
      <c r="J255" s="18" t="str">
        <f aca="false">IF(E255="","",I255*F255)</f>
        <v/>
      </c>
    </row>
    <row r="256" customFormat="false" ht="15" hidden="false" customHeight="false" outlineLevel="0" collapsed="false">
      <c r="I256" s="17" t="str">
        <f aca="false">IF(E256="","",IF(D256="BUY",E256,-E256))</f>
        <v/>
      </c>
      <c r="J256" s="18" t="str">
        <f aca="false">IF(E256="","",I256*F256)</f>
        <v/>
      </c>
    </row>
    <row r="257" customFormat="false" ht="15" hidden="false" customHeight="false" outlineLevel="0" collapsed="false">
      <c r="I257" s="17" t="str">
        <f aca="false">IF(E257="","",IF(D257="BUY",E257,-E257))</f>
        <v/>
      </c>
      <c r="J257" s="18" t="str">
        <f aca="false">IF(E257="","",I257*F257)</f>
        <v/>
      </c>
    </row>
    <row r="258" customFormat="false" ht="15" hidden="false" customHeight="false" outlineLevel="0" collapsed="false">
      <c r="I258" s="17" t="str">
        <f aca="false">IF(E258="","",IF(D258="BUY",E258,-E258))</f>
        <v/>
      </c>
      <c r="J258" s="18" t="str">
        <f aca="false">IF(E258="","",I258*F258)</f>
        <v/>
      </c>
    </row>
    <row r="259" customFormat="false" ht="15" hidden="false" customHeight="false" outlineLevel="0" collapsed="false">
      <c r="I259" s="17" t="str">
        <f aca="false">IF(E259="","",IF(D259="BUY",E259,-E259))</f>
        <v/>
      </c>
      <c r="J259" s="18" t="str">
        <f aca="false">IF(E259="","",I259*F259)</f>
        <v/>
      </c>
    </row>
    <row r="260" customFormat="false" ht="15" hidden="false" customHeight="false" outlineLevel="0" collapsed="false">
      <c r="I260" s="17" t="str">
        <f aca="false">IF(E260="","",IF(D260="BUY",E260,-E260))</f>
        <v/>
      </c>
      <c r="J260" s="18" t="str">
        <f aca="false">IF(E260="","",I260*F260)</f>
        <v/>
      </c>
    </row>
    <row r="261" customFormat="false" ht="15" hidden="false" customHeight="false" outlineLevel="0" collapsed="false">
      <c r="I261" s="17" t="str">
        <f aca="false">IF(E261="","",IF(D261="BUY",E261,-E261))</f>
        <v/>
      </c>
      <c r="J261" s="18" t="str">
        <f aca="false">IF(E261="","",I261*F261)</f>
        <v/>
      </c>
    </row>
    <row r="262" customFormat="false" ht="15" hidden="false" customHeight="false" outlineLevel="0" collapsed="false">
      <c r="I262" s="17" t="str">
        <f aca="false">IF(E262="","",IF(D262="BUY",E262,-E262))</f>
        <v/>
      </c>
      <c r="J262" s="18" t="str">
        <f aca="false">IF(E262="","",I262*F262)</f>
        <v/>
      </c>
    </row>
    <row r="263" customFormat="false" ht="15" hidden="false" customHeight="false" outlineLevel="0" collapsed="false">
      <c r="I263" s="17" t="str">
        <f aca="false">IF(E263="","",IF(D263="BUY",E263,-E263))</f>
        <v/>
      </c>
      <c r="J263" s="18" t="str">
        <f aca="false">IF(E263="","",I263*F263)</f>
        <v/>
      </c>
    </row>
    <row r="264" customFormat="false" ht="15" hidden="false" customHeight="false" outlineLevel="0" collapsed="false">
      <c r="I264" s="17" t="str">
        <f aca="false">IF(E264="","",IF(D264="BUY",E264,-E264))</f>
        <v/>
      </c>
      <c r="J264" s="18" t="str">
        <f aca="false">IF(E264="","",I264*F264)</f>
        <v/>
      </c>
    </row>
    <row r="265" customFormat="false" ht="15" hidden="false" customHeight="false" outlineLevel="0" collapsed="false">
      <c r="I265" s="17" t="str">
        <f aca="false">IF(E265="","",IF(D265="BUY",E265,-E265))</f>
        <v/>
      </c>
      <c r="J265" s="18" t="str">
        <f aca="false">IF(E265="","",I265*F265)</f>
        <v/>
      </c>
    </row>
    <row r="266" customFormat="false" ht="15" hidden="false" customHeight="false" outlineLevel="0" collapsed="false">
      <c r="I266" s="17" t="str">
        <f aca="false">IF(E266="","",IF(D266="BUY",E266,-E266))</f>
        <v/>
      </c>
      <c r="J266" s="18" t="str">
        <f aca="false">IF(E266="","",I266*F266)</f>
        <v/>
      </c>
    </row>
    <row r="267" customFormat="false" ht="15" hidden="false" customHeight="false" outlineLevel="0" collapsed="false">
      <c r="I267" s="17" t="str">
        <f aca="false">IF(E267="","",IF(D267="BUY",E267,-E267))</f>
        <v/>
      </c>
      <c r="J267" s="18" t="str">
        <f aca="false">IF(E267="","",I267*F267)</f>
        <v/>
      </c>
    </row>
    <row r="268" customFormat="false" ht="15" hidden="false" customHeight="false" outlineLevel="0" collapsed="false">
      <c r="I268" s="17" t="str">
        <f aca="false">IF(E268="","",IF(D268="BUY",E268,-E268))</f>
        <v/>
      </c>
      <c r="J268" s="18" t="str">
        <f aca="false">IF(E268="","",I268*F268)</f>
        <v/>
      </c>
    </row>
    <row r="269" customFormat="false" ht="15" hidden="false" customHeight="false" outlineLevel="0" collapsed="false">
      <c r="I269" s="17" t="str">
        <f aca="false">IF(E269="","",IF(D269="BUY",E269,-E269))</f>
        <v/>
      </c>
      <c r="J269" s="18" t="str">
        <f aca="false">IF(E269="","",I269*F269)</f>
        <v/>
      </c>
    </row>
    <row r="270" customFormat="false" ht="15" hidden="false" customHeight="false" outlineLevel="0" collapsed="false">
      <c r="I270" s="17" t="str">
        <f aca="false">IF(E270="","",IF(D270="BUY",E270,-E270))</f>
        <v/>
      </c>
      <c r="J270" s="18" t="str">
        <f aca="false">IF(E270="","",I270*F270)</f>
        <v/>
      </c>
    </row>
    <row r="271" customFormat="false" ht="15" hidden="false" customHeight="false" outlineLevel="0" collapsed="false">
      <c r="I271" s="17" t="str">
        <f aca="false">IF(E271="","",IF(D271="BUY",E271,-E271))</f>
        <v/>
      </c>
      <c r="J271" s="18" t="str">
        <f aca="false">IF(E271="","",I271*F271)</f>
        <v/>
      </c>
    </row>
    <row r="272" customFormat="false" ht="15" hidden="false" customHeight="false" outlineLevel="0" collapsed="false">
      <c r="I272" s="17" t="str">
        <f aca="false">IF(E272="","",IF(D272="BUY",E272,-E272))</f>
        <v/>
      </c>
      <c r="J272" s="18" t="str">
        <f aca="false">IF(E272="","",I272*F272)</f>
        <v/>
      </c>
    </row>
    <row r="273" customFormat="false" ht="15" hidden="false" customHeight="false" outlineLevel="0" collapsed="false">
      <c r="I273" s="17" t="str">
        <f aca="false">IF(E273="","",IF(D273="BUY",E273,-E273))</f>
        <v/>
      </c>
      <c r="J273" s="18" t="str">
        <f aca="false">IF(E273="","",I273*F273)</f>
        <v/>
      </c>
    </row>
    <row r="274" customFormat="false" ht="15" hidden="false" customHeight="false" outlineLevel="0" collapsed="false">
      <c r="I274" s="17" t="str">
        <f aca="false">IF(E274="","",IF(D274="BUY",E274,-E274))</f>
        <v/>
      </c>
      <c r="J274" s="18" t="str">
        <f aca="false">IF(E274="","",I274*F274)</f>
        <v/>
      </c>
    </row>
    <row r="275" customFormat="false" ht="15" hidden="false" customHeight="false" outlineLevel="0" collapsed="false">
      <c r="I275" s="17" t="str">
        <f aca="false">IF(E275="","",IF(D275="BUY",E275,-E275))</f>
        <v/>
      </c>
      <c r="J275" s="18" t="str">
        <f aca="false">IF(E275="","",I275*F275)</f>
        <v/>
      </c>
    </row>
    <row r="276" customFormat="false" ht="15" hidden="false" customHeight="false" outlineLevel="0" collapsed="false">
      <c r="I276" s="17" t="str">
        <f aca="false">IF(E276="","",IF(D276="BUY",E276,-E276))</f>
        <v/>
      </c>
      <c r="J276" s="18" t="str">
        <f aca="false">IF(E276="","",I276*F276)</f>
        <v/>
      </c>
    </row>
    <row r="277" customFormat="false" ht="15" hidden="false" customHeight="false" outlineLevel="0" collapsed="false">
      <c r="I277" s="17" t="str">
        <f aca="false">IF(E277="","",IF(D277="BUY",E277,-E277))</f>
        <v/>
      </c>
      <c r="J277" s="18" t="str">
        <f aca="false">IF(E277="","",I277*F277)</f>
        <v/>
      </c>
    </row>
    <row r="278" customFormat="false" ht="15" hidden="false" customHeight="false" outlineLevel="0" collapsed="false">
      <c r="I278" s="17" t="str">
        <f aca="false">IF(E278="","",IF(D278="BUY",E278,-E278))</f>
        <v/>
      </c>
      <c r="J278" s="18" t="str">
        <f aca="false">IF(E278="","",I278*F278)</f>
        <v/>
      </c>
    </row>
    <row r="279" customFormat="false" ht="15" hidden="false" customHeight="false" outlineLevel="0" collapsed="false">
      <c r="I279" s="17" t="str">
        <f aca="false">IF(E279="","",IF(D279="BUY",E279,-E279))</f>
        <v/>
      </c>
      <c r="J279" s="18" t="str">
        <f aca="false">IF(E279="","",I279*F279)</f>
        <v/>
      </c>
    </row>
    <row r="280" customFormat="false" ht="15" hidden="false" customHeight="false" outlineLevel="0" collapsed="false">
      <c r="I280" s="17" t="str">
        <f aca="false">IF(E280="","",IF(D280="BUY",E280,-E280))</f>
        <v/>
      </c>
      <c r="J280" s="18" t="str">
        <f aca="false">IF(E280="","",I280*F280)</f>
        <v/>
      </c>
    </row>
    <row r="281" customFormat="false" ht="15" hidden="false" customHeight="false" outlineLevel="0" collapsed="false">
      <c r="I281" s="17" t="str">
        <f aca="false">IF(E281="","",IF(D281="BUY",E281,-E281))</f>
        <v/>
      </c>
      <c r="J281" s="18" t="str">
        <f aca="false">IF(E281="","",I281*F281)</f>
        <v/>
      </c>
    </row>
    <row r="282" customFormat="false" ht="15" hidden="false" customHeight="false" outlineLevel="0" collapsed="false">
      <c r="I282" s="17" t="str">
        <f aca="false">IF(E282="","",IF(D282="BUY",E282,-E282))</f>
        <v/>
      </c>
      <c r="J282" s="18" t="str">
        <f aca="false">IF(E282="","",I282*F282)</f>
        <v/>
      </c>
    </row>
    <row r="283" customFormat="false" ht="15" hidden="false" customHeight="false" outlineLevel="0" collapsed="false">
      <c r="I283" s="17" t="str">
        <f aca="false">IF(E283="","",IF(D283="BUY",E283,-E283))</f>
        <v/>
      </c>
      <c r="J283" s="18" t="str">
        <f aca="false">IF(E283="","",I283*F283)</f>
        <v/>
      </c>
    </row>
    <row r="284" customFormat="false" ht="15" hidden="false" customHeight="false" outlineLevel="0" collapsed="false">
      <c r="I284" s="17" t="str">
        <f aca="false">IF(E284="","",IF(D284="BUY",E284,-E284))</f>
        <v/>
      </c>
      <c r="J284" s="18" t="str">
        <f aca="false">IF(E284="","",I284*F284)</f>
        <v/>
      </c>
    </row>
    <row r="285" customFormat="false" ht="15" hidden="false" customHeight="false" outlineLevel="0" collapsed="false">
      <c r="I285" s="17" t="str">
        <f aca="false">IF(E285="","",IF(D285="BUY",E285,-E285))</f>
        <v/>
      </c>
      <c r="J285" s="18" t="str">
        <f aca="false">IF(E285="","",I285*F285)</f>
        <v/>
      </c>
    </row>
    <row r="286" customFormat="false" ht="15" hidden="false" customHeight="false" outlineLevel="0" collapsed="false">
      <c r="I286" s="17" t="str">
        <f aca="false">IF(E286="","",IF(D286="BUY",E286,-E286))</f>
        <v/>
      </c>
      <c r="J286" s="18" t="str">
        <f aca="false">IF(E286="","",I286*F286)</f>
        <v/>
      </c>
    </row>
    <row r="287" customFormat="false" ht="15" hidden="false" customHeight="false" outlineLevel="0" collapsed="false">
      <c r="I287" s="17" t="str">
        <f aca="false">IF(E287="","",IF(D287="BUY",E287,-E287))</f>
        <v/>
      </c>
      <c r="J287" s="18" t="str">
        <f aca="false">IF(E287="","",I287*F287)</f>
        <v/>
      </c>
    </row>
    <row r="288" customFormat="false" ht="15" hidden="false" customHeight="false" outlineLevel="0" collapsed="false">
      <c r="I288" s="17" t="str">
        <f aca="false">IF(E288="","",IF(D288="BUY",E288,-E288))</f>
        <v/>
      </c>
      <c r="J288" s="18" t="str">
        <f aca="false">IF(E288="","",I288*F288)</f>
        <v/>
      </c>
    </row>
    <row r="289" customFormat="false" ht="15" hidden="false" customHeight="false" outlineLevel="0" collapsed="false">
      <c r="I289" s="17" t="str">
        <f aca="false">IF(E289="","",IF(D289="BUY",E289,-E289))</f>
        <v/>
      </c>
      <c r="J289" s="18" t="str">
        <f aca="false">IF(E289="","",I289*F289)</f>
        <v/>
      </c>
    </row>
    <row r="290" customFormat="false" ht="15" hidden="false" customHeight="false" outlineLevel="0" collapsed="false">
      <c r="I290" s="17" t="str">
        <f aca="false">IF(E290="","",IF(D290="BUY",E290,-E290))</f>
        <v/>
      </c>
      <c r="J290" s="18" t="str">
        <f aca="false">IF(E290="","",I290*F290)</f>
        <v/>
      </c>
    </row>
    <row r="291" customFormat="false" ht="15" hidden="false" customHeight="false" outlineLevel="0" collapsed="false">
      <c r="I291" s="17" t="str">
        <f aca="false">IF(E291="","",IF(D291="BUY",E291,-E291))</f>
        <v/>
      </c>
      <c r="J291" s="18" t="str">
        <f aca="false">IF(E291="","",I291*F291)</f>
        <v/>
      </c>
    </row>
    <row r="292" customFormat="false" ht="15" hidden="false" customHeight="false" outlineLevel="0" collapsed="false">
      <c r="I292" s="17" t="str">
        <f aca="false">IF(E292="","",IF(D292="BUY",E292,-E292))</f>
        <v/>
      </c>
      <c r="J292" s="18" t="str">
        <f aca="false">IF(E292="","",I292*F292)</f>
        <v/>
      </c>
    </row>
    <row r="293" customFormat="false" ht="15" hidden="false" customHeight="false" outlineLevel="0" collapsed="false">
      <c r="I293" s="17" t="str">
        <f aca="false">IF(E293="","",IF(D293="BUY",E293,-E293))</f>
        <v/>
      </c>
      <c r="J293" s="18" t="str">
        <f aca="false">IF(E293="","",I293*F293)</f>
        <v/>
      </c>
    </row>
    <row r="294" customFormat="false" ht="15" hidden="false" customHeight="false" outlineLevel="0" collapsed="false">
      <c r="I294" s="17" t="str">
        <f aca="false">IF(E294="","",IF(D294="BUY",E294,-E294))</f>
        <v/>
      </c>
      <c r="J294" s="18" t="str">
        <f aca="false">IF(E294="","",I294*F294)</f>
        <v/>
      </c>
    </row>
    <row r="295" customFormat="false" ht="15" hidden="false" customHeight="false" outlineLevel="0" collapsed="false">
      <c r="I295" s="17" t="str">
        <f aca="false">IF(E295="","",IF(D295="BUY",E295,-E295))</f>
        <v/>
      </c>
      <c r="J295" s="18" t="str">
        <f aca="false">IF(E295="","",I295*F295)</f>
        <v/>
      </c>
    </row>
    <row r="296" customFormat="false" ht="15" hidden="false" customHeight="false" outlineLevel="0" collapsed="false">
      <c r="I296" s="17" t="str">
        <f aca="false">IF(E296="","",IF(D296="BUY",E296,-E296))</f>
        <v/>
      </c>
      <c r="J296" s="18" t="str">
        <f aca="false">IF(E296="","",I296*F296)</f>
        <v/>
      </c>
    </row>
    <row r="297" customFormat="false" ht="15" hidden="false" customHeight="false" outlineLevel="0" collapsed="false">
      <c r="I297" s="17" t="str">
        <f aca="false">IF(E297="","",IF(D297="BUY",E297,-E297))</f>
        <v/>
      </c>
      <c r="J297" s="18" t="str">
        <f aca="false">IF(E297="","",I297*F297)</f>
        <v/>
      </c>
    </row>
    <row r="298" customFormat="false" ht="15" hidden="false" customHeight="false" outlineLevel="0" collapsed="false">
      <c r="I298" s="17" t="str">
        <f aca="false">IF(E298="","",IF(D298="BUY",E298,-E298))</f>
        <v/>
      </c>
      <c r="J298" s="18" t="str">
        <f aca="false">IF(E298="","",I298*F298)</f>
        <v/>
      </c>
    </row>
    <row r="299" customFormat="false" ht="15" hidden="false" customHeight="false" outlineLevel="0" collapsed="false">
      <c r="I299" s="17" t="str">
        <f aca="false">IF(E299="","",IF(D299="BUY",E299,-E299))</f>
        <v/>
      </c>
      <c r="J299" s="18" t="str">
        <f aca="false">IF(E299="","",I299*F299)</f>
        <v/>
      </c>
    </row>
    <row r="300" customFormat="false" ht="15" hidden="false" customHeight="false" outlineLevel="0" collapsed="false">
      <c r="I300" s="17" t="str">
        <f aca="false">IF(E300="","",IF(D300="BUY",E300,-E300))</f>
        <v/>
      </c>
      <c r="J300" s="18" t="str">
        <f aca="false">IF(E300="","",I300*F300)</f>
        <v/>
      </c>
    </row>
    <row r="301" customFormat="false" ht="15" hidden="false" customHeight="false" outlineLevel="0" collapsed="false">
      <c r="I301" s="17" t="str">
        <f aca="false">IF(E301="","",IF(D301="BUY",E301,-E301))</f>
        <v/>
      </c>
      <c r="J301" s="18" t="str">
        <f aca="false">IF(E301="","",I301*F301)</f>
        <v/>
      </c>
    </row>
    <row r="302" customFormat="false" ht="15" hidden="false" customHeight="false" outlineLevel="0" collapsed="false">
      <c r="I302" s="17" t="str">
        <f aca="false">IF(E302="","",IF(D302="BUY",E302,-E302))</f>
        <v/>
      </c>
      <c r="J302" s="18" t="str">
        <f aca="false">IF(E302="","",I302*F302)</f>
        <v/>
      </c>
    </row>
    <row r="303" customFormat="false" ht="15" hidden="false" customHeight="false" outlineLevel="0" collapsed="false">
      <c r="I303" s="17" t="str">
        <f aca="false">IF(E303="","",IF(D303="BUY",E303,-E303))</f>
        <v/>
      </c>
      <c r="J303" s="18" t="str">
        <f aca="false">IF(E303="","",I303*F303)</f>
        <v/>
      </c>
    </row>
    <row r="304" customFormat="false" ht="15" hidden="false" customHeight="false" outlineLevel="0" collapsed="false">
      <c r="I304" s="17" t="str">
        <f aca="false">IF(E304="","",IF(D304="BUY",E304,-E304))</f>
        <v/>
      </c>
      <c r="J304" s="18" t="str">
        <f aca="false">IF(E304="","",I304*F304)</f>
        <v/>
      </c>
    </row>
    <row r="305" customFormat="false" ht="15" hidden="false" customHeight="false" outlineLevel="0" collapsed="false">
      <c r="I305" s="17" t="str">
        <f aca="false">IF(E305="","",IF(D305="BUY",E305,-E305))</f>
        <v/>
      </c>
      <c r="J305" s="18" t="str">
        <f aca="false">IF(E305="","",I305*F305)</f>
        <v/>
      </c>
    </row>
    <row r="306" customFormat="false" ht="15" hidden="false" customHeight="false" outlineLevel="0" collapsed="false">
      <c r="I306" s="17" t="str">
        <f aca="false">IF(E306="","",IF(D306="BUY",E306,-E306))</f>
        <v/>
      </c>
      <c r="J306" s="18" t="str">
        <f aca="false">IF(E306="","",I306*F306)</f>
        <v/>
      </c>
    </row>
    <row r="307" customFormat="false" ht="15" hidden="false" customHeight="false" outlineLevel="0" collapsed="false">
      <c r="I307" s="17" t="str">
        <f aca="false">IF(E307="","",IF(D307="BUY",E307,-E307))</f>
        <v/>
      </c>
      <c r="J307" s="18" t="str">
        <f aca="false">IF(E307="","",I307*F307)</f>
        <v/>
      </c>
    </row>
    <row r="308" customFormat="false" ht="15" hidden="false" customHeight="false" outlineLevel="0" collapsed="false">
      <c r="I308" s="17" t="str">
        <f aca="false">IF(E308="","",IF(D308="BUY",E308,-E308))</f>
        <v/>
      </c>
      <c r="J308" s="18" t="str">
        <f aca="false">IF(E308="","",I308*F308)</f>
        <v/>
      </c>
    </row>
    <row r="309" customFormat="false" ht="15" hidden="false" customHeight="false" outlineLevel="0" collapsed="false">
      <c r="I309" s="17" t="str">
        <f aca="false">IF(E309="","",IF(D309="BUY",E309,-E309))</f>
        <v/>
      </c>
      <c r="J309" s="18" t="str">
        <f aca="false">IF(E309="","",I309*F309)</f>
        <v/>
      </c>
    </row>
    <row r="310" customFormat="false" ht="15" hidden="false" customHeight="false" outlineLevel="0" collapsed="false">
      <c r="I310" s="17" t="str">
        <f aca="false">IF(E310="","",IF(D310="BUY",E310,-E310))</f>
        <v/>
      </c>
      <c r="J310" s="18" t="str">
        <f aca="false">IF(E310="","",I310*F310)</f>
        <v/>
      </c>
    </row>
    <row r="311" customFormat="false" ht="15" hidden="false" customHeight="false" outlineLevel="0" collapsed="false">
      <c r="I311" s="17" t="str">
        <f aca="false">IF(E311="","",IF(D311="BUY",E311,-E311))</f>
        <v/>
      </c>
      <c r="J311" s="18" t="str">
        <f aca="false">IF(E311="","",I311*F311)</f>
        <v/>
      </c>
    </row>
    <row r="312" customFormat="false" ht="15" hidden="false" customHeight="false" outlineLevel="0" collapsed="false">
      <c r="I312" s="17" t="str">
        <f aca="false">IF(E312="","",IF(D312="BUY",E312,-E312))</f>
        <v/>
      </c>
      <c r="J312" s="18" t="str">
        <f aca="false">IF(E312="","",I312*F312)</f>
        <v/>
      </c>
    </row>
    <row r="313" customFormat="false" ht="15" hidden="false" customHeight="false" outlineLevel="0" collapsed="false">
      <c r="I313" s="17" t="str">
        <f aca="false">IF(E313="","",IF(D313="BUY",E313,-E313))</f>
        <v/>
      </c>
      <c r="J313" s="18" t="str">
        <f aca="false">IF(E313="","",I313*F313)</f>
        <v/>
      </c>
    </row>
    <row r="314" customFormat="false" ht="15" hidden="false" customHeight="false" outlineLevel="0" collapsed="false">
      <c r="I314" s="17" t="str">
        <f aca="false">IF(E314="","",IF(D314="BUY",E314,-E314))</f>
        <v/>
      </c>
      <c r="J314" s="18" t="str">
        <f aca="false">IF(E314="","",I314*F314)</f>
        <v/>
      </c>
    </row>
    <row r="315" customFormat="false" ht="15" hidden="false" customHeight="false" outlineLevel="0" collapsed="false">
      <c r="I315" s="17" t="str">
        <f aca="false">IF(E315="","",IF(D315="BUY",E315,-E315))</f>
        <v/>
      </c>
      <c r="J315" s="18" t="str">
        <f aca="false">IF(E315="","",I315*F315)</f>
        <v/>
      </c>
    </row>
    <row r="316" customFormat="false" ht="15" hidden="false" customHeight="false" outlineLevel="0" collapsed="false">
      <c r="I316" s="17" t="str">
        <f aca="false">IF(E316="","",IF(D316="BUY",E316,-E316))</f>
        <v/>
      </c>
      <c r="J316" s="18" t="str">
        <f aca="false">IF(E316="","",I316*F316)</f>
        <v/>
      </c>
    </row>
    <row r="317" customFormat="false" ht="15" hidden="false" customHeight="false" outlineLevel="0" collapsed="false">
      <c r="I317" s="17" t="str">
        <f aca="false">IF(E317="","",IF(D317="BUY",E317,-E317))</f>
        <v/>
      </c>
      <c r="J317" s="18" t="str">
        <f aca="false">IF(E317="","",I317*F317)</f>
        <v/>
      </c>
    </row>
    <row r="318" customFormat="false" ht="15" hidden="false" customHeight="false" outlineLevel="0" collapsed="false">
      <c r="I318" s="17" t="str">
        <f aca="false">IF(E318="","",IF(D318="BUY",E318,-E318))</f>
        <v/>
      </c>
      <c r="J318" s="18" t="str">
        <f aca="false">IF(E318="","",I318*F318)</f>
        <v/>
      </c>
    </row>
    <row r="319" customFormat="false" ht="15" hidden="false" customHeight="false" outlineLevel="0" collapsed="false">
      <c r="I319" s="17" t="str">
        <f aca="false">IF(E319="","",IF(D319="BUY",E319,-E319))</f>
        <v/>
      </c>
      <c r="J319" s="18" t="str">
        <f aca="false">IF(E319="","",I319*F319)</f>
        <v/>
      </c>
    </row>
    <row r="320" customFormat="false" ht="15" hidden="false" customHeight="false" outlineLevel="0" collapsed="false">
      <c r="I320" s="17" t="str">
        <f aca="false">IF(E320="","",IF(D320="BUY",E320,-E320))</f>
        <v/>
      </c>
      <c r="J320" s="18" t="str">
        <f aca="false">IF(E320="","",I320*F320)</f>
        <v/>
      </c>
    </row>
    <row r="321" customFormat="false" ht="15" hidden="false" customHeight="false" outlineLevel="0" collapsed="false">
      <c r="I321" s="17" t="str">
        <f aca="false">IF(E321="","",IF(D321="BUY",E321,-E321))</f>
        <v/>
      </c>
      <c r="J321" s="18" t="str">
        <f aca="false">IF(E321="","",I321*F321)</f>
        <v/>
      </c>
    </row>
    <row r="322" customFormat="false" ht="15" hidden="false" customHeight="false" outlineLevel="0" collapsed="false">
      <c r="I322" s="17" t="str">
        <f aca="false">IF(E322="","",IF(D322="BUY",E322,-E322))</f>
        <v/>
      </c>
      <c r="J322" s="18" t="str">
        <f aca="false">IF(E322="","",I322*F322)</f>
        <v/>
      </c>
    </row>
    <row r="323" customFormat="false" ht="15" hidden="false" customHeight="false" outlineLevel="0" collapsed="false">
      <c r="I323" s="17" t="str">
        <f aca="false">IF(E323="","",IF(D323="BUY",E323,-E323))</f>
        <v/>
      </c>
      <c r="J323" s="18" t="str">
        <f aca="false">IF(E323="","",I323*F323)</f>
        <v/>
      </c>
    </row>
    <row r="324" customFormat="false" ht="15" hidden="false" customHeight="false" outlineLevel="0" collapsed="false">
      <c r="I324" s="17" t="str">
        <f aca="false">IF(E324="","",IF(D324="BUY",E324,-E324))</f>
        <v/>
      </c>
      <c r="J324" s="18" t="str">
        <f aca="false">IF(E324="","",I324*F324)</f>
        <v/>
      </c>
    </row>
    <row r="325" customFormat="false" ht="15" hidden="false" customHeight="false" outlineLevel="0" collapsed="false">
      <c r="I325" s="17" t="str">
        <f aca="false">IF(E325="","",IF(D325="BUY",E325,-E325))</f>
        <v/>
      </c>
      <c r="J325" s="18" t="str">
        <f aca="false">IF(E325="","",I325*F325)</f>
        <v/>
      </c>
    </row>
    <row r="326" customFormat="false" ht="15" hidden="false" customHeight="false" outlineLevel="0" collapsed="false">
      <c r="I326" s="17" t="str">
        <f aca="false">IF(E326="","",IF(D326="BUY",E326,-E326))</f>
        <v/>
      </c>
      <c r="J326" s="18" t="str">
        <f aca="false">IF(E326="","",I326*F326)</f>
        <v/>
      </c>
    </row>
    <row r="327" customFormat="false" ht="15" hidden="false" customHeight="false" outlineLevel="0" collapsed="false">
      <c r="I327" s="17" t="str">
        <f aca="false">IF(E327="","",IF(D327="BUY",E327,-E327))</f>
        <v/>
      </c>
      <c r="J327" s="18" t="str">
        <f aca="false">IF(E327="","",I327*F327)</f>
        <v/>
      </c>
    </row>
    <row r="328" customFormat="false" ht="15" hidden="false" customHeight="false" outlineLevel="0" collapsed="false">
      <c r="I328" s="17" t="str">
        <f aca="false">IF(E328="","",IF(D328="BUY",E328,-E328))</f>
        <v/>
      </c>
      <c r="J328" s="18" t="str">
        <f aca="false">IF(E328="","",I328*F328)</f>
        <v/>
      </c>
    </row>
    <row r="329" customFormat="false" ht="15" hidden="false" customHeight="false" outlineLevel="0" collapsed="false">
      <c r="I329" s="17" t="str">
        <f aca="false">IF(E329="","",IF(D329="BUY",E329,-E329))</f>
        <v/>
      </c>
      <c r="J329" s="18" t="str">
        <f aca="false">IF(E329="","",I329*F329)</f>
        <v/>
      </c>
    </row>
    <row r="330" customFormat="false" ht="15" hidden="false" customHeight="false" outlineLevel="0" collapsed="false">
      <c r="I330" s="17" t="str">
        <f aca="false">IF(E330="","",IF(D330="BUY",E330,-E330))</f>
        <v/>
      </c>
      <c r="J330" s="18" t="str">
        <f aca="false">IF(E330="","",I330*F330)</f>
        <v/>
      </c>
    </row>
    <row r="331" customFormat="false" ht="15" hidden="false" customHeight="false" outlineLevel="0" collapsed="false">
      <c r="I331" s="17" t="str">
        <f aca="false">IF(E331="","",IF(D331="BUY",E331,-E331))</f>
        <v/>
      </c>
      <c r="J331" s="18" t="str">
        <f aca="false">IF(E331="","",I331*F331)</f>
        <v/>
      </c>
    </row>
    <row r="332" customFormat="false" ht="15" hidden="false" customHeight="false" outlineLevel="0" collapsed="false">
      <c r="I332" s="17" t="str">
        <f aca="false">IF(E332="","",IF(D332="BUY",E332,-E332))</f>
        <v/>
      </c>
      <c r="J332" s="18" t="str">
        <f aca="false">IF(E332="","",I332*F332)</f>
        <v/>
      </c>
    </row>
    <row r="333" customFormat="false" ht="15" hidden="false" customHeight="false" outlineLevel="0" collapsed="false">
      <c r="I333" s="17" t="str">
        <f aca="false">IF(E333="","",IF(D333="BUY",E333,-E333))</f>
        <v/>
      </c>
      <c r="J333" s="18" t="str">
        <f aca="false">IF(E333="","",I333*F333)</f>
        <v/>
      </c>
    </row>
    <row r="334" customFormat="false" ht="15" hidden="false" customHeight="false" outlineLevel="0" collapsed="false">
      <c r="I334" s="17" t="str">
        <f aca="false">IF(E334="","",IF(D334="BUY",E334,-E334))</f>
        <v/>
      </c>
      <c r="J334" s="18" t="str">
        <f aca="false">IF(E334="","",I334*F334)</f>
        <v/>
      </c>
    </row>
    <row r="335" customFormat="false" ht="15" hidden="false" customHeight="false" outlineLevel="0" collapsed="false">
      <c r="I335" s="17" t="str">
        <f aca="false">IF(E335="","",IF(D335="BUY",E335,-E335))</f>
        <v/>
      </c>
      <c r="J335" s="18" t="str">
        <f aca="false">IF(E335="","",I335*F335)</f>
        <v/>
      </c>
    </row>
    <row r="336" customFormat="false" ht="15" hidden="false" customHeight="false" outlineLevel="0" collapsed="false">
      <c r="I336" s="17" t="str">
        <f aca="false">IF(E336="","",IF(D336="BUY",E336,-E336))</f>
        <v/>
      </c>
      <c r="J336" s="18" t="str">
        <f aca="false">IF(E336="","",I336*F336)</f>
        <v/>
      </c>
    </row>
    <row r="337" customFormat="false" ht="15" hidden="false" customHeight="false" outlineLevel="0" collapsed="false">
      <c r="I337" s="17" t="str">
        <f aca="false">IF(E337="","",IF(D337="BUY",E337,-E337))</f>
        <v/>
      </c>
      <c r="J337" s="18" t="str">
        <f aca="false">IF(E337="","",I337*F337)</f>
        <v/>
      </c>
    </row>
    <row r="338" customFormat="false" ht="15" hidden="false" customHeight="false" outlineLevel="0" collapsed="false">
      <c r="I338" s="17" t="str">
        <f aca="false">IF(E338="","",IF(D338="BUY",E338,-E338))</f>
        <v/>
      </c>
      <c r="J338" s="18" t="str">
        <f aca="false">IF(E338="","",I338*F338)</f>
        <v/>
      </c>
    </row>
    <row r="339" customFormat="false" ht="15" hidden="false" customHeight="false" outlineLevel="0" collapsed="false">
      <c r="I339" s="17" t="str">
        <f aca="false">IF(E339="","",IF(D339="BUY",E339,-E339))</f>
        <v/>
      </c>
      <c r="J339" s="18" t="str">
        <f aca="false">IF(E339="","",I339*F339)</f>
        <v/>
      </c>
    </row>
    <row r="340" customFormat="false" ht="15" hidden="false" customHeight="false" outlineLevel="0" collapsed="false">
      <c r="I340" s="17" t="str">
        <f aca="false">IF(E340="","",IF(D340="BUY",E340,-E340))</f>
        <v/>
      </c>
      <c r="J340" s="18" t="str">
        <f aca="false">IF(E340="","",I340*F340)</f>
        <v/>
      </c>
    </row>
    <row r="341" customFormat="false" ht="15" hidden="false" customHeight="false" outlineLevel="0" collapsed="false">
      <c r="I341" s="17" t="str">
        <f aca="false">IF(E341="","",IF(D341="BUY",E341,-E341))</f>
        <v/>
      </c>
      <c r="J341" s="18" t="str">
        <f aca="false">IF(E341="","",I341*F341)</f>
        <v/>
      </c>
    </row>
    <row r="342" customFormat="false" ht="15" hidden="false" customHeight="false" outlineLevel="0" collapsed="false">
      <c r="I342" s="17" t="str">
        <f aca="false">IF(E342="","",IF(D342="BUY",E342,-E342))</f>
        <v/>
      </c>
      <c r="J342" s="18" t="str">
        <f aca="false">IF(E342="","",I342*F342)</f>
        <v/>
      </c>
    </row>
    <row r="343" customFormat="false" ht="15" hidden="false" customHeight="false" outlineLevel="0" collapsed="false">
      <c r="I343" s="17" t="str">
        <f aca="false">IF(E343="","",IF(D343="BUY",E343,-E343))</f>
        <v/>
      </c>
      <c r="J343" s="18" t="str">
        <f aca="false">IF(E343="","",I343*F343)</f>
        <v/>
      </c>
    </row>
    <row r="344" customFormat="false" ht="15" hidden="false" customHeight="false" outlineLevel="0" collapsed="false">
      <c r="I344" s="17" t="str">
        <f aca="false">IF(E344="","",IF(D344="BUY",E344,-E344))</f>
        <v/>
      </c>
      <c r="J344" s="18" t="str">
        <f aca="false">IF(E344="","",I344*F344)</f>
        <v/>
      </c>
    </row>
    <row r="345" customFormat="false" ht="15" hidden="false" customHeight="false" outlineLevel="0" collapsed="false">
      <c r="I345" s="17" t="str">
        <f aca="false">IF(E345="","",IF(D345="BUY",E345,-E345))</f>
        <v/>
      </c>
      <c r="J345" s="18" t="str">
        <f aca="false">IF(E345="","",I345*F345)</f>
        <v/>
      </c>
    </row>
    <row r="346" customFormat="false" ht="15" hidden="false" customHeight="false" outlineLevel="0" collapsed="false">
      <c r="I346" s="17" t="str">
        <f aca="false">IF(E346="","",IF(D346="BUY",E346,-E346))</f>
        <v/>
      </c>
      <c r="J346" s="18" t="str">
        <f aca="false">IF(E346="","",I346*F346)</f>
        <v/>
      </c>
    </row>
    <row r="347" customFormat="false" ht="15" hidden="false" customHeight="false" outlineLevel="0" collapsed="false">
      <c r="I347" s="17" t="str">
        <f aca="false">IF(E347="","",IF(D347="BUY",E347,-E347))</f>
        <v/>
      </c>
      <c r="J347" s="18" t="str">
        <f aca="false">IF(E347="","",I347*F347)</f>
        <v/>
      </c>
    </row>
    <row r="348" customFormat="false" ht="15" hidden="false" customHeight="false" outlineLevel="0" collapsed="false">
      <c r="I348" s="17" t="str">
        <f aca="false">IF(E348="","",IF(D348="BUY",E348,-E348))</f>
        <v/>
      </c>
      <c r="J348" s="18" t="str">
        <f aca="false">IF(E348="","",I348*F348)</f>
        <v/>
      </c>
    </row>
    <row r="349" customFormat="false" ht="15" hidden="false" customHeight="false" outlineLevel="0" collapsed="false">
      <c r="I349" s="17" t="str">
        <f aca="false">IF(E349="","",IF(D349="BUY",E349,-E349))</f>
        <v/>
      </c>
      <c r="J349" s="18" t="str">
        <f aca="false">IF(E349="","",I349*F349)</f>
        <v/>
      </c>
    </row>
    <row r="350" customFormat="false" ht="15" hidden="false" customHeight="false" outlineLevel="0" collapsed="false">
      <c r="I350" s="17" t="str">
        <f aca="false">IF(E350="","",IF(D350="BUY",E350,-E350))</f>
        <v/>
      </c>
      <c r="J350" s="18" t="str">
        <f aca="false">IF(E350="","",I350*F350)</f>
        <v/>
      </c>
    </row>
    <row r="351" customFormat="false" ht="15" hidden="false" customHeight="false" outlineLevel="0" collapsed="false">
      <c r="I351" s="17" t="str">
        <f aca="false">IF(E351="","",IF(D351="BUY",E351,-E351))</f>
        <v/>
      </c>
      <c r="J351" s="18" t="str">
        <f aca="false">IF(E351="","",I351*F351)</f>
        <v/>
      </c>
    </row>
    <row r="352" customFormat="false" ht="15" hidden="false" customHeight="false" outlineLevel="0" collapsed="false">
      <c r="I352" s="17" t="str">
        <f aca="false">IF(E352="","",IF(D352="BUY",E352,-E352))</f>
        <v/>
      </c>
      <c r="J352" s="18" t="str">
        <f aca="false">IF(E352="","",I352*F352)</f>
        <v/>
      </c>
    </row>
    <row r="353" customFormat="false" ht="15" hidden="false" customHeight="false" outlineLevel="0" collapsed="false">
      <c r="I353" s="17" t="str">
        <f aca="false">IF(E353="","",IF(D353="BUY",E353,-E353))</f>
        <v/>
      </c>
      <c r="J353" s="18" t="str">
        <f aca="false">IF(E353="","",I353*F353)</f>
        <v/>
      </c>
    </row>
    <row r="354" customFormat="false" ht="15" hidden="false" customHeight="false" outlineLevel="0" collapsed="false">
      <c r="I354" s="17" t="str">
        <f aca="false">IF(E354="","",IF(D354="BUY",E354,-E354))</f>
        <v/>
      </c>
      <c r="J354" s="18" t="str">
        <f aca="false">IF(E354="","",I354*F354)</f>
        <v/>
      </c>
    </row>
    <row r="355" customFormat="false" ht="15" hidden="false" customHeight="false" outlineLevel="0" collapsed="false">
      <c r="I355" s="17" t="str">
        <f aca="false">IF(E355="","",IF(D355="BUY",E355,-E355))</f>
        <v/>
      </c>
      <c r="J355" s="18" t="str">
        <f aca="false">IF(E355="","",I355*F355)</f>
        <v/>
      </c>
    </row>
    <row r="356" customFormat="false" ht="15" hidden="false" customHeight="false" outlineLevel="0" collapsed="false">
      <c r="I356" s="17" t="str">
        <f aca="false">IF(E356="","",IF(D356="BUY",E356,-E356))</f>
        <v/>
      </c>
      <c r="J356" s="18" t="str">
        <f aca="false">IF(E356="","",I356*F356)</f>
        <v/>
      </c>
    </row>
    <row r="357" customFormat="false" ht="15" hidden="false" customHeight="false" outlineLevel="0" collapsed="false">
      <c r="I357" s="17" t="str">
        <f aca="false">IF(E357="","",IF(D357="BUY",E357,-E357))</f>
        <v/>
      </c>
      <c r="J357" s="18" t="str">
        <f aca="false">IF(E357="","",I357*F357)</f>
        <v/>
      </c>
    </row>
    <row r="358" customFormat="false" ht="15" hidden="false" customHeight="false" outlineLevel="0" collapsed="false">
      <c r="I358" s="17" t="str">
        <f aca="false">IF(E358="","",IF(D358="BUY",E358,-E358))</f>
        <v/>
      </c>
      <c r="J358" s="18" t="str">
        <f aca="false">IF(E358="","",I358*F358)</f>
        <v/>
      </c>
    </row>
    <row r="359" customFormat="false" ht="15" hidden="false" customHeight="false" outlineLevel="0" collapsed="false">
      <c r="I359" s="17" t="str">
        <f aca="false">IF(E359="","",IF(D359="BUY",E359,-E359))</f>
        <v/>
      </c>
      <c r="J359" s="18" t="str">
        <f aca="false">IF(E359="","",I359*F359)</f>
        <v/>
      </c>
    </row>
    <row r="360" customFormat="false" ht="15" hidden="false" customHeight="false" outlineLevel="0" collapsed="false">
      <c r="I360" s="17" t="str">
        <f aca="false">IF(E360="","",IF(D360="BUY",E360,-E360))</f>
        <v/>
      </c>
      <c r="J360" s="18" t="str">
        <f aca="false">IF(E360="","",I360*F360)</f>
        <v/>
      </c>
    </row>
    <row r="361" customFormat="false" ht="15" hidden="false" customHeight="false" outlineLevel="0" collapsed="false">
      <c r="I361" s="17" t="str">
        <f aca="false">IF(E361="","",IF(D361="BUY",E361,-E361))</f>
        <v/>
      </c>
      <c r="J361" s="18" t="str">
        <f aca="false">IF(E361="","",I361*F361)</f>
        <v/>
      </c>
    </row>
    <row r="362" customFormat="false" ht="15" hidden="false" customHeight="false" outlineLevel="0" collapsed="false">
      <c r="I362" s="17" t="str">
        <f aca="false">IF(E362="","",IF(D362="BUY",E362,-E362))</f>
        <v/>
      </c>
      <c r="J362" s="18" t="str">
        <f aca="false">IF(E362="","",I362*F362)</f>
        <v/>
      </c>
    </row>
    <row r="363" customFormat="false" ht="15" hidden="false" customHeight="false" outlineLevel="0" collapsed="false">
      <c r="I363" s="17" t="str">
        <f aca="false">IF(E363="","",IF(D363="BUY",E363,-E363))</f>
        <v/>
      </c>
      <c r="J363" s="18" t="str">
        <f aca="false">IF(E363="","",I363*F363)</f>
        <v/>
      </c>
    </row>
    <row r="364" customFormat="false" ht="15" hidden="false" customHeight="false" outlineLevel="0" collapsed="false">
      <c r="I364" s="17" t="str">
        <f aca="false">IF(E364="","",IF(D364="BUY",E364,-E364))</f>
        <v/>
      </c>
      <c r="J364" s="18" t="str">
        <f aca="false">IF(E364="","",I364*F364)</f>
        <v/>
      </c>
    </row>
    <row r="365" customFormat="false" ht="15" hidden="false" customHeight="false" outlineLevel="0" collapsed="false">
      <c r="I365" s="17" t="str">
        <f aca="false">IF(E365="","",IF(D365="BUY",E365,-E365))</f>
        <v/>
      </c>
      <c r="J365" s="18" t="str">
        <f aca="false">IF(E365="","",I365*F365)</f>
        <v/>
      </c>
    </row>
    <row r="366" customFormat="false" ht="15" hidden="false" customHeight="false" outlineLevel="0" collapsed="false">
      <c r="I366" s="17" t="str">
        <f aca="false">IF(E366="","",IF(D366="BUY",E366,-E366))</f>
        <v/>
      </c>
      <c r="J366" s="18" t="str">
        <f aca="false">IF(E366="","",I366*F366)</f>
        <v/>
      </c>
    </row>
    <row r="367" customFormat="false" ht="15" hidden="false" customHeight="false" outlineLevel="0" collapsed="false">
      <c r="I367" s="17" t="str">
        <f aca="false">IF(E367="","",IF(D367="BUY",E367,-E367))</f>
        <v/>
      </c>
      <c r="J367" s="18" t="str">
        <f aca="false">IF(E367="","",I367*F367)</f>
        <v/>
      </c>
    </row>
    <row r="368" customFormat="false" ht="15" hidden="false" customHeight="false" outlineLevel="0" collapsed="false">
      <c r="I368" s="17" t="str">
        <f aca="false">IF(E368="","",IF(D368="BUY",E368,-E368))</f>
        <v/>
      </c>
      <c r="J368" s="18" t="str">
        <f aca="false">IF(E368="","",I368*F368)</f>
        <v/>
      </c>
    </row>
    <row r="369" customFormat="false" ht="15" hidden="false" customHeight="false" outlineLevel="0" collapsed="false">
      <c r="I369" s="17" t="str">
        <f aca="false">IF(E369="","",IF(D369="BUY",E369,-E369))</f>
        <v/>
      </c>
      <c r="J369" s="18" t="str">
        <f aca="false">IF(E369="","",I369*F369)</f>
        <v/>
      </c>
    </row>
    <row r="370" customFormat="false" ht="15" hidden="false" customHeight="false" outlineLevel="0" collapsed="false">
      <c r="I370" s="17" t="str">
        <f aca="false">IF(E370="","",IF(D370="BUY",E370,-E370))</f>
        <v/>
      </c>
      <c r="J370" s="18" t="str">
        <f aca="false">IF(E370="","",I370*F370)</f>
        <v/>
      </c>
    </row>
    <row r="371" customFormat="false" ht="15" hidden="false" customHeight="false" outlineLevel="0" collapsed="false">
      <c r="I371" s="17" t="str">
        <f aca="false">IF(E371="","",IF(D371="BUY",E371,-E371))</f>
        <v/>
      </c>
      <c r="J371" s="18" t="str">
        <f aca="false">IF(E371="","",I371*F371)</f>
        <v/>
      </c>
    </row>
    <row r="372" customFormat="false" ht="15" hidden="false" customHeight="false" outlineLevel="0" collapsed="false">
      <c r="I372" s="17" t="str">
        <f aca="false">IF(E372="","",IF(D372="BUY",E372,-E372))</f>
        <v/>
      </c>
      <c r="J372" s="18" t="str">
        <f aca="false">IF(E372="","",I372*F372)</f>
        <v/>
      </c>
    </row>
    <row r="373" customFormat="false" ht="15" hidden="false" customHeight="false" outlineLevel="0" collapsed="false">
      <c r="I373" s="17" t="str">
        <f aca="false">IF(E373="","",IF(D373="BUY",E373,-E373))</f>
        <v/>
      </c>
      <c r="J373" s="18" t="str">
        <f aca="false">IF(E373="","",I373*F373)</f>
        <v/>
      </c>
    </row>
    <row r="374" customFormat="false" ht="15" hidden="false" customHeight="false" outlineLevel="0" collapsed="false">
      <c r="I374" s="17" t="str">
        <f aca="false">IF(E374="","",IF(D374="BUY",E374,-E374))</f>
        <v/>
      </c>
      <c r="J374" s="18" t="str">
        <f aca="false">IF(E374="","",I374*F374)</f>
        <v/>
      </c>
    </row>
    <row r="375" customFormat="false" ht="15" hidden="false" customHeight="false" outlineLevel="0" collapsed="false">
      <c r="I375" s="17" t="str">
        <f aca="false">IF(E375="","",IF(D375="BUY",E375,-E375))</f>
        <v/>
      </c>
      <c r="J375" s="18" t="str">
        <f aca="false">IF(E375="","",I375*F375)</f>
        <v/>
      </c>
    </row>
    <row r="376" customFormat="false" ht="15" hidden="false" customHeight="false" outlineLevel="0" collapsed="false">
      <c r="I376" s="17" t="str">
        <f aca="false">IF(E376="","",IF(D376="BUY",E376,-E376))</f>
        <v/>
      </c>
      <c r="J376" s="18" t="str">
        <f aca="false">IF(E376="","",I376*F376)</f>
        <v/>
      </c>
    </row>
    <row r="377" customFormat="false" ht="15" hidden="false" customHeight="false" outlineLevel="0" collapsed="false">
      <c r="I377" s="17" t="str">
        <f aca="false">IF(E377="","",IF(D377="BUY",E377,-E377))</f>
        <v/>
      </c>
      <c r="J377" s="18" t="str">
        <f aca="false">IF(E377="","",I377*F377)</f>
        <v/>
      </c>
    </row>
    <row r="378" customFormat="false" ht="15" hidden="false" customHeight="false" outlineLevel="0" collapsed="false">
      <c r="I378" s="17" t="str">
        <f aca="false">IF(E378="","",IF(D378="BUY",E378,-E378))</f>
        <v/>
      </c>
      <c r="J378" s="18" t="str">
        <f aca="false">IF(E378="","",I378*F378)</f>
        <v/>
      </c>
    </row>
    <row r="379" customFormat="false" ht="15" hidden="false" customHeight="false" outlineLevel="0" collapsed="false">
      <c r="I379" s="17" t="str">
        <f aca="false">IF(E379="","",IF(D379="BUY",E379,-E379))</f>
        <v/>
      </c>
      <c r="J379" s="18" t="str">
        <f aca="false">IF(E379="","",I379*F379)</f>
        <v/>
      </c>
    </row>
    <row r="380" customFormat="false" ht="15" hidden="false" customHeight="false" outlineLevel="0" collapsed="false">
      <c r="I380" s="17" t="str">
        <f aca="false">IF(E380="","",IF(D380="BUY",E380,-E380))</f>
        <v/>
      </c>
      <c r="J380" s="18" t="str">
        <f aca="false">IF(E380="","",I380*F380)</f>
        <v/>
      </c>
    </row>
    <row r="381" customFormat="false" ht="15" hidden="false" customHeight="false" outlineLevel="0" collapsed="false">
      <c r="I381" s="17" t="str">
        <f aca="false">IF(E381="","",IF(D381="BUY",E381,-E381))</f>
        <v/>
      </c>
      <c r="J381" s="18" t="str">
        <f aca="false">IF(E381="","",I381*F381)</f>
        <v/>
      </c>
    </row>
    <row r="382" customFormat="false" ht="15" hidden="false" customHeight="false" outlineLevel="0" collapsed="false">
      <c r="I382" s="17" t="str">
        <f aca="false">IF(E382="","",IF(D382="BUY",E382,-E382))</f>
        <v/>
      </c>
      <c r="J382" s="18" t="str">
        <f aca="false">IF(E382="","",I382*F382)</f>
        <v/>
      </c>
    </row>
    <row r="383" customFormat="false" ht="15" hidden="false" customHeight="false" outlineLevel="0" collapsed="false">
      <c r="I383" s="17" t="str">
        <f aca="false">IF(E383="","",IF(D383="BUY",E383,-E383))</f>
        <v/>
      </c>
      <c r="J383" s="18" t="str">
        <f aca="false">IF(E383="","",I383*F383)</f>
        <v/>
      </c>
    </row>
    <row r="384" customFormat="false" ht="15" hidden="false" customHeight="false" outlineLevel="0" collapsed="false">
      <c r="I384" s="17" t="str">
        <f aca="false">IF(E384="","",IF(D384="BUY",E384,-E384))</f>
        <v/>
      </c>
      <c r="J384" s="18" t="str">
        <f aca="false">IF(E384="","",I384*F384)</f>
        <v/>
      </c>
    </row>
    <row r="385" customFormat="false" ht="15" hidden="false" customHeight="false" outlineLevel="0" collapsed="false">
      <c r="I385" s="17" t="str">
        <f aca="false">IF(E385="","",IF(D385="BUY",E385,-E385))</f>
        <v/>
      </c>
      <c r="J385" s="18" t="str">
        <f aca="false">IF(E385="","",I385*F385)</f>
        <v/>
      </c>
    </row>
    <row r="386" customFormat="false" ht="15" hidden="false" customHeight="false" outlineLevel="0" collapsed="false">
      <c r="I386" s="17" t="str">
        <f aca="false">IF(E386="","",IF(D386="BUY",E386,-E386))</f>
        <v/>
      </c>
      <c r="J386" s="18" t="str">
        <f aca="false">IF(E386="","",I386*F386)</f>
        <v/>
      </c>
    </row>
    <row r="387" customFormat="false" ht="15" hidden="false" customHeight="false" outlineLevel="0" collapsed="false">
      <c r="I387" s="17" t="str">
        <f aca="false">IF(E387="","",IF(D387="BUY",E387,-E387))</f>
        <v/>
      </c>
      <c r="J387" s="18" t="str">
        <f aca="false">IF(E387="","",I387*F387)</f>
        <v/>
      </c>
    </row>
    <row r="388" customFormat="false" ht="15" hidden="false" customHeight="false" outlineLevel="0" collapsed="false">
      <c r="I388" s="17" t="str">
        <f aca="false">IF(E388="","",IF(D388="BUY",E388,-E388))</f>
        <v/>
      </c>
      <c r="J388" s="18" t="str">
        <f aca="false">IF(E388="","",I388*F388)</f>
        <v/>
      </c>
    </row>
    <row r="389" customFormat="false" ht="15" hidden="false" customHeight="false" outlineLevel="0" collapsed="false">
      <c r="I389" s="17" t="str">
        <f aca="false">IF(E389="","",IF(D389="BUY",E389,-E389))</f>
        <v/>
      </c>
      <c r="J389" s="18" t="str">
        <f aca="false">IF(E389="","",I389*F389)</f>
        <v/>
      </c>
    </row>
    <row r="390" customFormat="false" ht="15" hidden="false" customHeight="false" outlineLevel="0" collapsed="false">
      <c r="I390" s="17" t="str">
        <f aca="false">IF(E390="","",IF(D390="BUY",E390,-E390))</f>
        <v/>
      </c>
      <c r="J390" s="18" t="str">
        <f aca="false">IF(E390="","",I390*F390)</f>
        <v/>
      </c>
    </row>
    <row r="391" customFormat="false" ht="15" hidden="false" customHeight="false" outlineLevel="0" collapsed="false">
      <c r="I391" s="17" t="str">
        <f aca="false">IF(E391="","",IF(D391="BUY",E391,-E391))</f>
        <v/>
      </c>
      <c r="J391" s="18" t="str">
        <f aca="false">IF(E391="","",I391*F391)</f>
        <v/>
      </c>
    </row>
    <row r="392" customFormat="false" ht="15" hidden="false" customHeight="false" outlineLevel="0" collapsed="false">
      <c r="I392" s="17" t="str">
        <f aca="false">IF(E392="","",IF(D392="BUY",E392,-E392))</f>
        <v/>
      </c>
      <c r="J392" s="18" t="str">
        <f aca="false">IF(E392="","",I392*F392)</f>
        <v/>
      </c>
    </row>
    <row r="393" customFormat="false" ht="15" hidden="false" customHeight="false" outlineLevel="0" collapsed="false">
      <c r="I393" s="17" t="str">
        <f aca="false">IF(E393="","",IF(D393="BUY",E393,-E393))</f>
        <v/>
      </c>
      <c r="J393" s="18" t="str">
        <f aca="false">IF(E393="","",I393*F393)</f>
        <v/>
      </c>
    </row>
    <row r="394" customFormat="false" ht="15" hidden="false" customHeight="false" outlineLevel="0" collapsed="false">
      <c r="I394" s="17" t="str">
        <f aca="false">IF(E394="","",IF(D394="BUY",E394,-E394))</f>
        <v/>
      </c>
      <c r="J394" s="18" t="str">
        <f aca="false">IF(E394="","",I394*F394)</f>
        <v/>
      </c>
    </row>
    <row r="395" customFormat="false" ht="15" hidden="false" customHeight="false" outlineLevel="0" collapsed="false">
      <c r="I395" s="17" t="str">
        <f aca="false">IF(E395="","",IF(D395="BUY",E395,-E395))</f>
        <v/>
      </c>
      <c r="J395" s="18" t="str">
        <f aca="false">IF(E395="","",I395*F395)</f>
        <v/>
      </c>
    </row>
    <row r="396" customFormat="false" ht="15" hidden="false" customHeight="false" outlineLevel="0" collapsed="false">
      <c r="I396" s="17" t="str">
        <f aca="false">IF(E396="","",IF(D396="BUY",E396,-E396))</f>
        <v/>
      </c>
      <c r="J396" s="18" t="str">
        <f aca="false">IF(E396="","",I396*F396)</f>
        <v/>
      </c>
    </row>
    <row r="397" customFormat="false" ht="15" hidden="false" customHeight="false" outlineLevel="0" collapsed="false">
      <c r="I397" s="17" t="str">
        <f aca="false">IF(E397="","",IF(D397="BUY",E397,-E397))</f>
        <v/>
      </c>
      <c r="J397" s="18" t="str">
        <f aca="false">IF(E397="","",I397*F397)</f>
        <v/>
      </c>
    </row>
    <row r="398" customFormat="false" ht="15" hidden="false" customHeight="false" outlineLevel="0" collapsed="false">
      <c r="I398" s="17" t="str">
        <f aca="false">IF(E398="","",IF(D398="BUY",E398,-E398))</f>
        <v/>
      </c>
      <c r="J398" s="18" t="str">
        <f aca="false">IF(E398="","",I398*F398)</f>
        <v/>
      </c>
    </row>
    <row r="399" customFormat="false" ht="15" hidden="false" customHeight="false" outlineLevel="0" collapsed="false">
      <c r="I399" s="17" t="str">
        <f aca="false">IF(E399="","",IF(D399="BUY",E399,-E399))</f>
        <v/>
      </c>
      <c r="J399" s="18" t="str">
        <f aca="false">IF(E399="","",I399*F399)</f>
        <v/>
      </c>
    </row>
    <row r="400" customFormat="false" ht="15" hidden="false" customHeight="false" outlineLevel="0" collapsed="false">
      <c r="I400" s="17" t="str">
        <f aca="false">IF(E400="","",IF(D400="BUY",E400,-E400))</f>
        <v/>
      </c>
      <c r="J400" s="18" t="str">
        <f aca="false">IF(E400="","",I400*F400)</f>
        <v/>
      </c>
    </row>
    <row r="401" customFormat="false" ht="15" hidden="false" customHeight="false" outlineLevel="0" collapsed="false">
      <c r="I401" s="17" t="str">
        <f aca="false">IF(E401="","",IF(D401="BUY",E401,-E401))</f>
        <v/>
      </c>
      <c r="J401" s="18" t="str">
        <f aca="false">IF(E401="","",I401*F401)</f>
        <v/>
      </c>
    </row>
    <row r="402" customFormat="false" ht="15" hidden="false" customHeight="false" outlineLevel="0" collapsed="false">
      <c r="I402" s="17" t="str">
        <f aca="false">IF(E402="","",IF(D402="BUY",E402,-E402))</f>
        <v/>
      </c>
      <c r="J402" s="18" t="str">
        <f aca="false">IF(E402="","",I402*F402)</f>
        <v/>
      </c>
    </row>
    <row r="403" customFormat="false" ht="15" hidden="false" customHeight="false" outlineLevel="0" collapsed="false">
      <c r="I403" s="17" t="str">
        <f aca="false">IF(E403="","",IF(D403="BUY",E403,-E403))</f>
        <v/>
      </c>
      <c r="J403" s="18" t="str">
        <f aca="false">IF(E403="","",I403*F403)</f>
        <v/>
      </c>
    </row>
    <row r="404" customFormat="false" ht="15" hidden="false" customHeight="false" outlineLevel="0" collapsed="false">
      <c r="I404" s="17" t="str">
        <f aca="false">IF(E404="","",IF(D404="BUY",E404,-E404))</f>
        <v/>
      </c>
      <c r="J404" s="18" t="str">
        <f aca="false">IF(E404="","",I404*F404)</f>
        <v/>
      </c>
    </row>
    <row r="405" customFormat="false" ht="15" hidden="false" customHeight="false" outlineLevel="0" collapsed="false">
      <c r="I405" s="17" t="str">
        <f aca="false">IF(E405="","",IF(D405="BUY",E405,-E405))</f>
        <v/>
      </c>
      <c r="J405" s="18" t="str">
        <f aca="false">IF(E405="","",I405*F405)</f>
        <v/>
      </c>
    </row>
    <row r="406" customFormat="false" ht="15" hidden="false" customHeight="false" outlineLevel="0" collapsed="false">
      <c r="I406" s="17" t="str">
        <f aca="false">IF(E406="","",IF(D406="BUY",E406,-E406))</f>
        <v/>
      </c>
      <c r="J406" s="18" t="str">
        <f aca="false">IF(E406="","",I406*F406)</f>
        <v/>
      </c>
    </row>
    <row r="407" customFormat="false" ht="15" hidden="false" customHeight="false" outlineLevel="0" collapsed="false">
      <c r="I407" s="17" t="str">
        <f aca="false">IF(E407="","",IF(D407="BUY",E407,-E407))</f>
        <v/>
      </c>
      <c r="J407" s="18" t="str">
        <f aca="false">IF(E407="","",I407*F407)</f>
        <v/>
      </c>
    </row>
    <row r="408" customFormat="false" ht="15" hidden="false" customHeight="false" outlineLevel="0" collapsed="false">
      <c r="I408" s="17" t="str">
        <f aca="false">IF(E408="","",IF(D408="BUY",E408,-E408))</f>
        <v/>
      </c>
      <c r="J408" s="18" t="str">
        <f aca="false">IF(E408="","",I408*F408)</f>
        <v/>
      </c>
    </row>
    <row r="409" customFormat="false" ht="15" hidden="false" customHeight="false" outlineLevel="0" collapsed="false">
      <c r="I409" s="17" t="str">
        <f aca="false">IF(E409="","",IF(D409="BUY",E409,-E409))</f>
        <v/>
      </c>
      <c r="J409" s="18" t="str">
        <f aca="false">IF(E409="","",I409*F409)</f>
        <v/>
      </c>
    </row>
    <row r="410" customFormat="false" ht="15" hidden="false" customHeight="false" outlineLevel="0" collapsed="false">
      <c r="I410" s="17" t="str">
        <f aca="false">IF(E410="","",IF(D410="BUY",E410,-E410))</f>
        <v/>
      </c>
      <c r="J410" s="18" t="str">
        <f aca="false">IF(E410="","",I410*F410)</f>
        <v/>
      </c>
    </row>
    <row r="411" customFormat="false" ht="15" hidden="false" customHeight="false" outlineLevel="0" collapsed="false">
      <c r="I411" s="17" t="str">
        <f aca="false">IF(E411="","",IF(D411="BUY",E411,-E411))</f>
        <v/>
      </c>
      <c r="J411" s="18" t="str">
        <f aca="false">IF(E411="","",I411*F411)</f>
        <v/>
      </c>
    </row>
    <row r="412" customFormat="false" ht="15" hidden="false" customHeight="false" outlineLevel="0" collapsed="false">
      <c r="I412" s="17" t="str">
        <f aca="false">IF(E412="","",IF(D412="BUY",E412,-E412))</f>
        <v/>
      </c>
      <c r="J412" s="18" t="str">
        <f aca="false">IF(E412="","",I412*F412)</f>
        <v/>
      </c>
    </row>
    <row r="413" customFormat="false" ht="15" hidden="false" customHeight="false" outlineLevel="0" collapsed="false">
      <c r="I413" s="17" t="str">
        <f aca="false">IF(E413="","",IF(D413="BUY",E413,-E413))</f>
        <v/>
      </c>
      <c r="J413" s="18" t="str">
        <f aca="false">IF(E413="","",I413*F413)</f>
        <v/>
      </c>
    </row>
    <row r="414" customFormat="false" ht="15" hidden="false" customHeight="false" outlineLevel="0" collapsed="false">
      <c r="I414" s="17" t="str">
        <f aca="false">IF(E414="","",IF(D414="BUY",E414,-E414))</f>
        <v/>
      </c>
      <c r="J414" s="18" t="str">
        <f aca="false">IF(E414="","",I414*F414)</f>
        <v/>
      </c>
    </row>
    <row r="415" customFormat="false" ht="15" hidden="false" customHeight="false" outlineLevel="0" collapsed="false">
      <c r="I415" s="17" t="str">
        <f aca="false">IF(E415="","",IF(D415="BUY",E415,-E415))</f>
        <v/>
      </c>
      <c r="J415" s="18" t="str">
        <f aca="false">IF(E415="","",I415*F415)</f>
        <v/>
      </c>
    </row>
    <row r="416" customFormat="false" ht="15" hidden="false" customHeight="false" outlineLevel="0" collapsed="false">
      <c r="I416" s="17" t="str">
        <f aca="false">IF(E416="","",IF(D416="BUY",E416,-E416))</f>
        <v/>
      </c>
      <c r="J416" s="18" t="str">
        <f aca="false">IF(E416="","",I416*F416)</f>
        <v/>
      </c>
    </row>
    <row r="417" customFormat="false" ht="15" hidden="false" customHeight="false" outlineLevel="0" collapsed="false">
      <c r="I417" s="17" t="str">
        <f aca="false">IF(E417="","",IF(D417="BUY",E417,-E417))</f>
        <v/>
      </c>
      <c r="J417" s="18" t="str">
        <f aca="false">IF(E417="","",I417*F417)</f>
        <v/>
      </c>
    </row>
    <row r="418" customFormat="false" ht="15" hidden="false" customHeight="false" outlineLevel="0" collapsed="false">
      <c r="I418" s="17" t="str">
        <f aca="false">IF(E418="","",IF(D418="BUY",E418,-E418))</f>
        <v/>
      </c>
      <c r="J418" s="18" t="str">
        <f aca="false">IF(E418="","",I418*F418)</f>
        <v/>
      </c>
    </row>
    <row r="419" customFormat="false" ht="15" hidden="false" customHeight="false" outlineLevel="0" collapsed="false">
      <c r="I419" s="17" t="str">
        <f aca="false">IF(E419="","",IF(D419="BUY",E419,-E419))</f>
        <v/>
      </c>
      <c r="J419" s="18" t="str">
        <f aca="false">IF(E419="","",I419*F419)</f>
        <v/>
      </c>
    </row>
    <row r="420" customFormat="false" ht="15" hidden="false" customHeight="false" outlineLevel="0" collapsed="false">
      <c r="I420" s="17" t="str">
        <f aca="false">IF(E420="","",IF(D420="BUY",E420,-E420))</f>
        <v/>
      </c>
      <c r="J420" s="18" t="str">
        <f aca="false">IF(E420="","",I420*F420)</f>
        <v/>
      </c>
    </row>
    <row r="421" customFormat="false" ht="15" hidden="false" customHeight="false" outlineLevel="0" collapsed="false">
      <c r="I421" s="17" t="str">
        <f aca="false">IF(E421="","",IF(D421="BUY",E421,-E421))</f>
        <v/>
      </c>
      <c r="J421" s="18" t="str">
        <f aca="false">IF(E421="","",I421*F421)</f>
        <v/>
      </c>
    </row>
    <row r="422" customFormat="false" ht="15" hidden="false" customHeight="false" outlineLevel="0" collapsed="false">
      <c r="I422" s="17" t="str">
        <f aca="false">IF(E422="","",IF(D422="BUY",E422,-E422))</f>
        <v/>
      </c>
      <c r="J422" s="18" t="str">
        <f aca="false">IF(E422="","",I422*F422)</f>
        <v/>
      </c>
    </row>
    <row r="423" customFormat="false" ht="15" hidden="false" customHeight="false" outlineLevel="0" collapsed="false">
      <c r="I423" s="17" t="str">
        <f aca="false">IF(E423="","",IF(D423="BUY",E423,-E423))</f>
        <v/>
      </c>
      <c r="J423" s="18" t="str">
        <f aca="false">IF(E423="","",I423*F423)</f>
        <v/>
      </c>
    </row>
    <row r="424" customFormat="false" ht="15" hidden="false" customHeight="false" outlineLevel="0" collapsed="false">
      <c r="I424" s="17" t="str">
        <f aca="false">IF(E424="","",IF(D424="BUY",E424,-E424))</f>
        <v/>
      </c>
      <c r="J424" s="18" t="str">
        <f aca="false">IF(E424="","",I424*F424)</f>
        <v/>
      </c>
    </row>
    <row r="425" customFormat="false" ht="15" hidden="false" customHeight="false" outlineLevel="0" collapsed="false">
      <c r="I425" s="17" t="str">
        <f aca="false">IF(E425="","",IF(D425="BUY",E425,-E425))</f>
        <v/>
      </c>
      <c r="J425" s="18" t="str">
        <f aca="false">IF(E425="","",I425*F425)</f>
        <v/>
      </c>
    </row>
    <row r="426" customFormat="false" ht="15" hidden="false" customHeight="false" outlineLevel="0" collapsed="false">
      <c r="I426" s="17" t="str">
        <f aca="false">IF(E426="","",IF(D426="BUY",E426,-E426))</f>
        <v/>
      </c>
      <c r="J426" s="18" t="str">
        <f aca="false">IF(E426="","",I426*F426)</f>
        <v/>
      </c>
    </row>
    <row r="427" customFormat="false" ht="15" hidden="false" customHeight="false" outlineLevel="0" collapsed="false">
      <c r="I427" s="17" t="str">
        <f aca="false">IF(E427="","",IF(D427="BUY",E427,-E427))</f>
        <v/>
      </c>
      <c r="J427" s="18" t="str">
        <f aca="false">IF(E427="","",I427*F427)</f>
        <v/>
      </c>
    </row>
    <row r="428" customFormat="false" ht="15" hidden="false" customHeight="false" outlineLevel="0" collapsed="false">
      <c r="I428" s="17" t="str">
        <f aca="false">IF(E428="","",IF(D428="BUY",E428,-E428))</f>
        <v/>
      </c>
      <c r="J428" s="18" t="str">
        <f aca="false">IF(E428="","",I428*F428)</f>
        <v/>
      </c>
    </row>
    <row r="429" customFormat="false" ht="15" hidden="false" customHeight="false" outlineLevel="0" collapsed="false">
      <c r="I429" s="17" t="str">
        <f aca="false">IF(E429="","",IF(D429="BUY",E429,-E429))</f>
        <v/>
      </c>
      <c r="J429" s="18" t="str">
        <f aca="false">IF(E429="","",I429*F429)</f>
        <v/>
      </c>
    </row>
    <row r="430" customFormat="false" ht="15" hidden="false" customHeight="false" outlineLevel="0" collapsed="false">
      <c r="I430" s="17" t="str">
        <f aca="false">IF(E430="","",IF(D430="BUY",E430,-E430))</f>
        <v/>
      </c>
      <c r="J430" s="18" t="str">
        <f aca="false">IF(E430="","",I430*F430)</f>
        <v/>
      </c>
    </row>
    <row r="431" customFormat="false" ht="15" hidden="false" customHeight="false" outlineLevel="0" collapsed="false">
      <c r="I431" s="17" t="str">
        <f aca="false">IF(E431="","",IF(D431="BUY",E431,-E431))</f>
        <v/>
      </c>
      <c r="J431" s="18" t="str">
        <f aca="false">IF(E431="","",I431*F431)</f>
        <v/>
      </c>
    </row>
    <row r="432" customFormat="false" ht="15" hidden="false" customHeight="false" outlineLevel="0" collapsed="false">
      <c r="I432" s="17" t="str">
        <f aca="false">IF(E432="","",IF(D432="BUY",E432,-E432))</f>
        <v/>
      </c>
      <c r="J432" s="18" t="str">
        <f aca="false">IF(E432="","",I432*F432)</f>
        <v/>
      </c>
    </row>
    <row r="433" customFormat="false" ht="15" hidden="false" customHeight="false" outlineLevel="0" collapsed="false">
      <c r="I433" s="17" t="str">
        <f aca="false">IF(E433="","",IF(D433="BUY",E433,-E433))</f>
        <v/>
      </c>
      <c r="J433" s="18" t="str">
        <f aca="false">IF(E433="","",I433*F433)</f>
        <v/>
      </c>
    </row>
    <row r="434" customFormat="false" ht="15" hidden="false" customHeight="false" outlineLevel="0" collapsed="false">
      <c r="I434" s="17" t="str">
        <f aca="false">IF(E434="","",IF(D434="BUY",E434,-E434))</f>
        <v/>
      </c>
      <c r="J434" s="18" t="str">
        <f aca="false">IF(E434="","",I434*F434)</f>
        <v/>
      </c>
    </row>
    <row r="435" customFormat="false" ht="15" hidden="false" customHeight="false" outlineLevel="0" collapsed="false">
      <c r="I435" s="17" t="str">
        <f aca="false">IF(E435="","",IF(D435="BUY",E435,-E435))</f>
        <v/>
      </c>
      <c r="J435" s="18" t="str">
        <f aca="false">IF(E435="","",I435*F435)</f>
        <v/>
      </c>
    </row>
    <row r="436" customFormat="false" ht="15" hidden="false" customHeight="false" outlineLevel="0" collapsed="false">
      <c r="I436" s="17" t="str">
        <f aca="false">IF(E436="","",IF(D436="BUY",E436,-E436))</f>
        <v/>
      </c>
      <c r="J436" s="18" t="str">
        <f aca="false">IF(E436="","",I436*F436)</f>
        <v/>
      </c>
    </row>
    <row r="437" customFormat="false" ht="15" hidden="false" customHeight="false" outlineLevel="0" collapsed="false">
      <c r="I437" s="17" t="str">
        <f aca="false">IF(E437="","",IF(D437="BUY",E437,-E437))</f>
        <v/>
      </c>
      <c r="J437" s="18" t="str">
        <f aca="false">IF(E437="","",I437*F437)</f>
        <v/>
      </c>
    </row>
    <row r="438" customFormat="false" ht="15" hidden="false" customHeight="false" outlineLevel="0" collapsed="false">
      <c r="I438" s="17" t="str">
        <f aca="false">IF(E438="","",IF(D438="BUY",E438,-E438))</f>
        <v/>
      </c>
      <c r="J438" s="18" t="str">
        <f aca="false">IF(E438="","",I438*F438)</f>
        <v/>
      </c>
    </row>
    <row r="439" customFormat="false" ht="15" hidden="false" customHeight="false" outlineLevel="0" collapsed="false">
      <c r="I439" s="17" t="str">
        <f aca="false">IF(E439="","",IF(D439="BUY",E439,-E439))</f>
        <v/>
      </c>
      <c r="J439" s="18" t="str">
        <f aca="false">IF(E439="","",I439*F439)</f>
        <v/>
      </c>
    </row>
    <row r="440" customFormat="false" ht="15" hidden="false" customHeight="false" outlineLevel="0" collapsed="false">
      <c r="I440" s="17" t="str">
        <f aca="false">IF(E440="","",IF(D440="BUY",E440,-E440))</f>
        <v/>
      </c>
      <c r="J440" s="18" t="str">
        <f aca="false">IF(E440="","",I440*F440)</f>
        <v/>
      </c>
    </row>
    <row r="441" customFormat="false" ht="15" hidden="false" customHeight="false" outlineLevel="0" collapsed="false">
      <c r="I441" s="17" t="str">
        <f aca="false">IF(E441="","",IF(D441="BUY",E441,-E441))</f>
        <v/>
      </c>
      <c r="J441" s="18" t="str">
        <f aca="false">IF(E441="","",I441*F441)</f>
        <v/>
      </c>
    </row>
    <row r="442" customFormat="false" ht="15" hidden="false" customHeight="false" outlineLevel="0" collapsed="false">
      <c r="I442" s="17" t="str">
        <f aca="false">IF(E442="","",IF(D442="BUY",E442,-E442))</f>
        <v/>
      </c>
      <c r="J442" s="18" t="str">
        <f aca="false">IF(E442="","",I442*F442)</f>
        <v/>
      </c>
    </row>
    <row r="443" customFormat="false" ht="15" hidden="false" customHeight="false" outlineLevel="0" collapsed="false">
      <c r="I443" s="17" t="str">
        <f aca="false">IF(E443="","",IF(D443="BUY",E443,-E443))</f>
        <v/>
      </c>
      <c r="J443" s="18" t="str">
        <f aca="false">IF(E443="","",I443*F443)</f>
        <v/>
      </c>
    </row>
    <row r="444" customFormat="false" ht="15" hidden="false" customHeight="false" outlineLevel="0" collapsed="false">
      <c r="I444" s="17" t="str">
        <f aca="false">IF(E444="","",IF(D444="BUY",E444,-E444))</f>
        <v/>
      </c>
      <c r="J444" s="18" t="str">
        <f aca="false">IF(E444="","",I444*F444)</f>
        <v/>
      </c>
    </row>
    <row r="445" customFormat="false" ht="15" hidden="false" customHeight="false" outlineLevel="0" collapsed="false">
      <c r="I445" s="17" t="str">
        <f aca="false">IF(E445="","",IF(D445="BUY",E445,-E445))</f>
        <v/>
      </c>
      <c r="J445" s="18" t="str">
        <f aca="false">IF(E445="","",I445*F445)</f>
        <v/>
      </c>
    </row>
    <row r="446" customFormat="false" ht="15" hidden="false" customHeight="false" outlineLevel="0" collapsed="false">
      <c r="I446" s="17" t="str">
        <f aca="false">IF(E446="","",IF(D446="BUY",E446,-E446))</f>
        <v/>
      </c>
      <c r="J446" s="18" t="str">
        <f aca="false">IF(E446="","",I446*F446)</f>
        <v/>
      </c>
    </row>
    <row r="447" customFormat="false" ht="15" hidden="false" customHeight="false" outlineLevel="0" collapsed="false">
      <c r="I447" s="17" t="str">
        <f aca="false">IF(E447="","",IF(D447="BUY",E447,-E447))</f>
        <v/>
      </c>
      <c r="J447" s="18" t="str">
        <f aca="false">IF(E447="","",I447*F447)</f>
        <v/>
      </c>
    </row>
    <row r="448" customFormat="false" ht="15" hidden="false" customHeight="false" outlineLevel="0" collapsed="false">
      <c r="I448" s="17" t="str">
        <f aca="false">IF(E448="","",IF(D448="BUY",E448,-E448))</f>
        <v/>
      </c>
      <c r="J448" s="18" t="str">
        <f aca="false">IF(E448="","",I448*F448)</f>
        <v/>
      </c>
    </row>
    <row r="449" customFormat="false" ht="15" hidden="false" customHeight="false" outlineLevel="0" collapsed="false">
      <c r="I449" s="17" t="str">
        <f aca="false">IF(E449="","",IF(D449="BUY",E449,-E449))</f>
        <v/>
      </c>
      <c r="J449" s="18" t="str">
        <f aca="false">IF(E449="","",I449*F449)</f>
        <v/>
      </c>
    </row>
    <row r="450" customFormat="false" ht="15" hidden="false" customHeight="false" outlineLevel="0" collapsed="false">
      <c r="I450" s="17" t="str">
        <f aca="false">IF(E450="","",IF(D450="BUY",E450,-E450))</f>
        <v/>
      </c>
      <c r="J450" s="18" t="str">
        <f aca="false">IF(E450="","",I450*F450)</f>
        <v/>
      </c>
    </row>
    <row r="451" customFormat="false" ht="15" hidden="false" customHeight="false" outlineLevel="0" collapsed="false">
      <c r="I451" s="17" t="str">
        <f aca="false">IF(E451="","",IF(D451="BUY",E451,-E451))</f>
        <v/>
      </c>
      <c r="J451" s="18" t="str">
        <f aca="false">IF(E451="","",I451*F451)</f>
        <v/>
      </c>
    </row>
    <row r="452" customFormat="false" ht="15" hidden="false" customHeight="false" outlineLevel="0" collapsed="false">
      <c r="I452" s="17" t="str">
        <f aca="false">IF(E452="","",IF(D452="BUY",E452,-E452))</f>
        <v/>
      </c>
      <c r="J452" s="18" t="str">
        <f aca="false">IF(E452="","",I452*F452)</f>
        <v/>
      </c>
    </row>
    <row r="453" customFormat="false" ht="15" hidden="false" customHeight="false" outlineLevel="0" collapsed="false">
      <c r="I453" s="17" t="str">
        <f aca="false">IF(E453="","",IF(D453="BUY",E453,-E453))</f>
        <v/>
      </c>
      <c r="J453" s="18" t="str">
        <f aca="false">IF(E453="","",I453*F453)</f>
        <v/>
      </c>
    </row>
    <row r="454" customFormat="false" ht="15" hidden="false" customHeight="false" outlineLevel="0" collapsed="false">
      <c r="I454" s="17" t="str">
        <f aca="false">IF(E454="","",IF(D454="BUY",E454,-E454))</f>
        <v/>
      </c>
      <c r="J454" s="18" t="str">
        <f aca="false">IF(E454="","",I454*F454)</f>
        <v/>
      </c>
    </row>
    <row r="455" customFormat="false" ht="15" hidden="false" customHeight="false" outlineLevel="0" collapsed="false">
      <c r="I455" s="17" t="str">
        <f aca="false">IF(E455="","",IF(D455="BUY",E455,-E455))</f>
        <v/>
      </c>
      <c r="J455" s="18" t="str">
        <f aca="false">IF(E455="","",I455*F455)</f>
        <v/>
      </c>
    </row>
    <row r="456" customFormat="false" ht="15" hidden="false" customHeight="false" outlineLevel="0" collapsed="false">
      <c r="I456" s="17" t="str">
        <f aca="false">IF(E456="","",IF(D456="BUY",E456,-E456))</f>
        <v/>
      </c>
      <c r="J456" s="18" t="str">
        <f aca="false">IF(E456="","",I456*F456)</f>
        <v/>
      </c>
    </row>
    <row r="457" customFormat="false" ht="15" hidden="false" customHeight="false" outlineLevel="0" collapsed="false">
      <c r="I457" s="17" t="str">
        <f aca="false">IF(E457="","",IF(D457="BUY",E457,-E457))</f>
        <v/>
      </c>
      <c r="J457" s="18" t="str">
        <f aca="false">IF(E457="","",I457*F457)</f>
        <v/>
      </c>
    </row>
    <row r="458" customFormat="false" ht="15" hidden="false" customHeight="false" outlineLevel="0" collapsed="false">
      <c r="I458" s="17" t="str">
        <f aca="false">IF(E458="","",IF(D458="BUY",E458,-E458))</f>
        <v/>
      </c>
      <c r="J458" s="18" t="str">
        <f aca="false">IF(E458="","",I458*F458)</f>
        <v/>
      </c>
    </row>
    <row r="459" customFormat="false" ht="15" hidden="false" customHeight="false" outlineLevel="0" collapsed="false">
      <c r="I459" s="17" t="str">
        <f aca="false">IF(E459="","",IF(D459="BUY",E459,-E459))</f>
        <v/>
      </c>
      <c r="J459" s="18" t="str">
        <f aca="false">IF(E459="","",I459*F459)</f>
        <v/>
      </c>
    </row>
    <row r="460" customFormat="false" ht="15" hidden="false" customHeight="false" outlineLevel="0" collapsed="false">
      <c r="I460" s="17" t="str">
        <f aca="false">IF(E460="","",IF(D460="BUY",E460,-E460))</f>
        <v/>
      </c>
      <c r="J460" s="18" t="str">
        <f aca="false">IF(E460="","",I460*F460)</f>
        <v/>
      </c>
    </row>
    <row r="461" customFormat="false" ht="15" hidden="false" customHeight="false" outlineLevel="0" collapsed="false">
      <c r="I461" s="17" t="str">
        <f aca="false">IF(E461="","",IF(D461="BUY",E461,-E461))</f>
        <v/>
      </c>
      <c r="J461" s="18" t="str">
        <f aca="false">IF(E461="","",I461*F461)</f>
        <v/>
      </c>
    </row>
    <row r="462" customFormat="false" ht="15" hidden="false" customHeight="false" outlineLevel="0" collapsed="false">
      <c r="I462" s="17" t="str">
        <f aca="false">IF(E462="","",IF(D462="BUY",E462,-E462))</f>
        <v/>
      </c>
      <c r="J462" s="18" t="str">
        <f aca="false">IF(E462="","",I462*F462)</f>
        <v/>
      </c>
    </row>
    <row r="463" customFormat="false" ht="15" hidden="false" customHeight="false" outlineLevel="0" collapsed="false">
      <c r="I463" s="17" t="str">
        <f aca="false">IF(E463="","",IF(D463="BUY",E463,-E463))</f>
        <v/>
      </c>
      <c r="J463" s="18" t="str">
        <f aca="false">IF(E463="","",I463*F463)</f>
        <v/>
      </c>
    </row>
    <row r="464" customFormat="false" ht="15" hidden="false" customHeight="false" outlineLevel="0" collapsed="false">
      <c r="I464" s="17" t="str">
        <f aca="false">IF(E464="","",IF(D464="BUY",E464,-E464))</f>
        <v/>
      </c>
      <c r="J464" s="18" t="str">
        <f aca="false">IF(E464="","",I464*F464)</f>
        <v/>
      </c>
    </row>
    <row r="465" customFormat="false" ht="15" hidden="false" customHeight="false" outlineLevel="0" collapsed="false">
      <c r="I465" s="17" t="str">
        <f aca="false">IF(E465="","",IF(D465="BUY",E465,-E465))</f>
        <v/>
      </c>
      <c r="J465" s="18" t="str">
        <f aca="false">IF(E465="","",I465*F465)</f>
        <v/>
      </c>
    </row>
    <row r="466" customFormat="false" ht="15" hidden="false" customHeight="false" outlineLevel="0" collapsed="false">
      <c r="I466" s="17" t="str">
        <f aca="false">IF(E466="","",IF(D466="BUY",E466,-E466))</f>
        <v/>
      </c>
      <c r="J466" s="18" t="str">
        <f aca="false">IF(E466="","",I466*F466)</f>
        <v/>
      </c>
    </row>
    <row r="467" customFormat="false" ht="15" hidden="false" customHeight="false" outlineLevel="0" collapsed="false">
      <c r="I467" s="17" t="str">
        <f aca="false">IF(E467="","",IF(D467="BUY",E467,-E467))</f>
        <v/>
      </c>
      <c r="J467" s="18" t="str">
        <f aca="false">IF(E467="","",I467*F467)</f>
        <v/>
      </c>
    </row>
    <row r="468" customFormat="false" ht="15" hidden="false" customHeight="false" outlineLevel="0" collapsed="false">
      <c r="I468" s="17" t="str">
        <f aca="false">IF(E468="","",IF(D468="BUY",E468,-E468))</f>
        <v/>
      </c>
      <c r="J468" s="18" t="str">
        <f aca="false">IF(E468="","",I468*F468)</f>
        <v/>
      </c>
    </row>
    <row r="469" customFormat="false" ht="15" hidden="false" customHeight="false" outlineLevel="0" collapsed="false">
      <c r="I469" s="17" t="str">
        <f aca="false">IF(E469="","",IF(D469="BUY",E469,-E469))</f>
        <v/>
      </c>
      <c r="J469" s="18" t="str">
        <f aca="false">IF(E469="","",I469*F469)</f>
        <v/>
      </c>
    </row>
    <row r="470" customFormat="false" ht="15" hidden="false" customHeight="false" outlineLevel="0" collapsed="false">
      <c r="I470" s="17" t="str">
        <f aca="false">IF(E470="","",IF(D470="BUY",E470,-E470))</f>
        <v/>
      </c>
      <c r="J470" s="18" t="str">
        <f aca="false">IF(E470="","",I470*F470)</f>
        <v/>
      </c>
    </row>
    <row r="471" customFormat="false" ht="15" hidden="false" customHeight="false" outlineLevel="0" collapsed="false">
      <c r="I471" s="17" t="str">
        <f aca="false">IF(E471="","",IF(D471="BUY",E471,-E471))</f>
        <v/>
      </c>
      <c r="J471" s="18" t="str">
        <f aca="false">IF(E471="","",I471*F471)</f>
        <v/>
      </c>
    </row>
    <row r="472" customFormat="false" ht="15" hidden="false" customHeight="false" outlineLevel="0" collapsed="false">
      <c r="I472" s="17" t="str">
        <f aca="false">IF(E472="","",IF(D472="BUY",E472,-E472))</f>
        <v/>
      </c>
      <c r="J472" s="18" t="str">
        <f aca="false">IF(E472="","",I472*F472)</f>
        <v/>
      </c>
    </row>
    <row r="473" customFormat="false" ht="15" hidden="false" customHeight="false" outlineLevel="0" collapsed="false">
      <c r="I473" s="17" t="str">
        <f aca="false">IF(E473="","",IF(D473="BUY",E473,-E473))</f>
        <v/>
      </c>
      <c r="J473" s="18" t="str">
        <f aca="false">IF(E473="","",I473*F473)</f>
        <v/>
      </c>
    </row>
    <row r="474" customFormat="false" ht="15" hidden="false" customHeight="false" outlineLevel="0" collapsed="false">
      <c r="I474" s="17" t="str">
        <f aca="false">IF(E474="","",IF(D474="BUY",E474,-E474))</f>
        <v/>
      </c>
      <c r="J474" s="18" t="str">
        <f aca="false">IF(E474="","",I474*F474)</f>
        <v/>
      </c>
    </row>
    <row r="475" customFormat="false" ht="15" hidden="false" customHeight="false" outlineLevel="0" collapsed="false">
      <c r="I475" s="17" t="str">
        <f aca="false">IF(E475="","",IF(D475="BUY",E475,-E475))</f>
        <v/>
      </c>
      <c r="J475" s="18" t="str">
        <f aca="false">IF(E475="","",I475*F475)</f>
        <v/>
      </c>
    </row>
    <row r="476" customFormat="false" ht="15" hidden="false" customHeight="false" outlineLevel="0" collapsed="false">
      <c r="I476" s="17" t="str">
        <f aca="false">IF(E476="","",IF(D476="BUY",E476,-E476))</f>
        <v/>
      </c>
      <c r="J476" s="18" t="str">
        <f aca="false">IF(E476="","",I476*F476)</f>
        <v/>
      </c>
    </row>
    <row r="477" customFormat="false" ht="15" hidden="false" customHeight="false" outlineLevel="0" collapsed="false">
      <c r="I477" s="17" t="str">
        <f aca="false">IF(E477="","",IF(D477="BUY",E477,-E477))</f>
        <v/>
      </c>
      <c r="J477" s="18" t="str">
        <f aca="false">IF(E477="","",I477*F477)</f>
        <v/>
      </c>
    </row>
    <row r="478" customFormat="false" ht="15" hidden="false" customHeight="false" outlineLevel="0" collapsed="false">
      <c r="I478" s="17" t="str">
        <f aca="false">IF(E478="","",IF(D478="BUY",E478,-E478))</f>
        <v/>
      </c>
      <c r="J478" s="18" t="str">
        <f aca="false">IF(E478="","",I478*F478)</f>
        <v/>
      </c>
    </row>
    <row r="479" customFormat="false" ht="15" hidden="false" customHeight="false" outlineLevel="0" collapsed="false">
      <c r="I479" s="17" t="str">
        <f aca="false">IF(E479="","",IF(D479="BUY",E479,-E479))</f>
        <v/>
      </c>
      <c r="J479" s="18" t="str">
        <f aca="false">IF(E479="","",I479*F479)</f>
        <v/>
      </c>
    </row>
    <row r="480" customFormat="false" ht="15" hidden="false" customHeight="false" outlineLevel="0" collapsed="false">
      <c r="I480" s="17" t="str">
        <f aca="false">IF(E480="","",IF(D480="BUY",E480,-E480))</f>
        <v/>
      </c>
      <c r="J480" s="18" t="str">
        <f aca="false">IF(E480="","",I480*F480)</f>
        <v/>
      </c>
    </row>
    <row r="481" customFormat="false" ht="15" hidden="false" customHeight="false" outlineLevel="0" collapsed="false">
      <c r="I481" s="17" t="str">
        <f aca="false">IF(E481="","",IF(D481="BUY",E481,-E481))</f>
        <v/>
      </c>
      <c r="J481" s="18" t="str">
        <f aca="false">IF(E481="","",I481*F481)</f>
        <v/>
      </c>
    </row>
    <row r="482" customFormat="false" ht="15" hidden="false" customHeight="false" outlineLevel="0" collapsed="false">
      <c r="I482" s="17" t="str">
        <f aca="false">IF(E482="","",IF(D482="BUY",E482,-E482))</f>
        <v/>
      </c>
      <c r="J482" s="18" t="str">
        <f aca="false">IF(E482="","",I482*F482)</f>
        <v/>
      </c>
    </row>
    <row r="483" customFormat="false" ht="15" hidden="false" customHeight="false" outlineLevel="0" collapsed="false">
      <c r="I483" s="17" t="str">
        <f aca="false">IF(E483="","",IF(D483="BUY",E483,-E483))</f>
        <v/>
      </c>
      <c r="J483" s="18" t="str">
        <f aca="false">IF(E483="","",I483*F483)</f>
        <v/>
      </c>
    </row>
    <row r="484" customFormat="false" ht="15" hidden="false" customHeight="false" outlineLevel="0" collapsed="false">
      <c r="I484" s="17" t="str">
        <f aca="false">IF(E484="","",IF(D484="BUY",E484,-E484))</f>
        <v/>
      </c>
      <c r="J484" s="18" t="str">
        <f aca="false">IF(E484="","",I484*F484)</f>
        <v/>
      </c>
    </row>
    <row r="485" customFormat="false" ht="15" hidden="false" customHeight="false" outlineLevel="0" collapsed="false">
      <c r="I485" s="17" t="str">
        <f aca="false">IF(E485="","",IF(D485="BUY",E485,-E485))</f>
        <v/>
      </c>
      <c r="J485" s="18" t="str">
        <f aca="false">IF(E485="","",I485*F485)</f>
        <v/>
      </c>
    </row>
    <row r="486" customFormat="false" ht="15" hidden="false" customHeight="false" outlineLevel="0" collapsed="false">
      <c r="I486" s="17" t="str">
        <f aca="false">IF(E486="","",IF(D486="BUY",E486,-E486))</f>
        <v/>
      </c>
      <c r="J486" s="18" t="str">
        <f aca="false">IF(E486="","",I486*F486)</f>
        <v/>
      </c>
    </row>
    <row r="487" customFormat="false" ht="15" hidden="false" customHeight="false" outlineLevel="0" collapsed="false">
      <c r="I487" s="17" t="str">
        <f aca="false">IF(E487="","",IF(D487="BUY",E487,-E487))</f>
        <v/>
      </c>
      <c r="J487" s="18" t="str">
        <f aca="false">IF(E487="","",I487*F487)</f>
        <v/>
      </c>
    </row>
    <row r="488" customFormat="false" ht="15" hidden="false" customHeight="false" outlineLevel="0" collapsed="false">
      <c r="I488" s="17" t="str">
        <f aca="false">IF(E488="","",IF(D488="BUY",E488,-E488))</f>
        <v/>
      </c>
      <c r="J488" s="18" t="str">
        <f aca="false">IF(E488="","",I488*F488)</f>
        <v/>
      </c>
    </row>
    <row r="489" customFormat="false" ht="15" hidden="false" customHeight="false" outlineLevel="0" collapsed="false">
      <c r="I489" s="17" t="str">
        <f aca="false">IF(E489="","",IF(D489="BUY",E489,-E489))</f>
        <v/>
      </c>
      <c r="J489" s="18" t="str">
        <f aca="false">IF(E489="","",I489*F489)</f>
        <v/>
      </c>
    </row>
    <row r="490" customFormat="false" ht="15" hidden="false" customHeight="false" outlineLevel="0" collapsed="false">
      <c r="I490" s="17" t="str">
        <f aca="false">IF(E490="","",IF(D490="BUY",E490,-E490))</f>
        <v/>
      </c>
      <c r="J490" s="18" t="str">
        <f aca="false">IF(E490="","",I490*F490)</f>
        <v/>
      </c>
    </row>
    <row r="491" customFormat="false" ht="15" hidden="false" customHeight="false" outlineLevel="0" collapsed="false">
      <c r="I491" s="17" t="str">
        <f aca="false">IF(E491="","",IF(D491="BUY",E491,-E491))</f>
        <v/>
      </c>
      <c r="J491" s="18" t="str">
        <f aca="false">IF(E491="","",I491*F491)</f>
        <v/>
      </c>
    </row>
    <row r="492" customFormat="false" ht="15" hidden="false" customHeight="false" outlineLevel="0" collapsed="false">
      <c r="I492" s="17" t="str">
        <f aca="false">IF(E492="","",IF(D492="BUY",E492,-E492))</f>
        <v/>
      </c>
      <c r="J492" s="18" t="str">
        <f aca="false">IF(E492="","",I492*F492)</f>
        <v/>
      </c>
    </row>
    <row r="493" customFormat="false" ht="15" hidden="false" customHeight="false" outlineLevel="0" collapsed="false">
      <c r="I493" s="17" t="str">
        <f aca="false">IF(E493="","",IF(D493="BUY",E493,-E493))</f>
        <v/>
      </c>
      <c r="J493" s="18" t="str">
        <f aca="false">IF(E493="","",I493*F493)</f>
        <v/>
      </c>
    </row>
    <row r="494" customFormat="false" ht="15" hidden="false" customHeight="false" outlineLevel="0" collapsed="false">
      <c r="I494" s="17" t="str">
        <f aca="false">IF(E494="","",IF(D494="BUY",E494,-E494))</f>
        <v/>
      </c>
      <c r="J494" s="18" t="str">
        <f aca="false">IF(E494="","",I494*F494)</f>
        <v/>
      </c>
    </row>
    <row r="495" customFormat="false" ht="15" hidden="false" customHeight="false" outlineLevel="0" collapsed="false">
      <c r="I495" s="17" t="str">
        <f aca="false">IF(E495="","",IF(D495="BUY",E495,-E495))</f>
        <v/>
      </c>
      <c r="J495" s="18" t="str">
        <f aca="false">IF(E495="","",I495*F495)</f>
        <v/>
      </c>
    </row>
    <row r="496" customFormat="false" ht="15" hidden="false" customHeight="false" outlineLevel="0" collapsed="false">
      <c r="I496" s="17" t="str">
        <f aca="false">IF(E496="","",IF(D496="BUY",E496,-E496))</f>
        <v/>
      </c>
      <c r="J496" s="18" t="str">
        <f aca="false">IF(E496="","",I496*F496)</f>
        <v/>
      </c>
    </row>
    <row r="497" customFormat="false" ht="15" hidden="false" customHeight="false" outlineLevel="0" collapsed="false">
      <c r="I497" s="17" t="str">
        <f aca="false">IF(E497="","",IF(D497="BUY",E497,-E497))</f>
        <v/>
      </c>
      <c r="J497" s="18" t="str">
        <f aca="false">IF(E497="","",I497*F497)</f>
        <v/>
      </c>
    </row>
    <row r="498" customFormat="false" ht="15" hidden="false" customHeight="false" outlineLevel="0" collapsed="false">
      <c r="I498" s="17" t="str">
        <f aca="false">IF(E498="","",IF(D498="BUY",E498,-E498))</f>
        <v/>
      </c>
      <c r="J498" s="18" t="str">
        <f aca="false">IF(E498="","",I498*F498)</f>
        <v/>
      </c>
    </row>
    <row r="499" customFormat="false" ht="15" hidden="false" customHeight="false" outlineLevel="0" collapsed="false">
      <c r="I499" s="17" t="str">
        <f aca="false">IF(E499="","",IF(D499="BUY",E499,-E499))</f>
        <v/>
      </c>
      <c r="J499" s="18" t="str">
        <f aca="false">IF(E499="","",I499*F499)</f>
        <v/>
      </c>
    </row>
    <row r="500" customFormat="false" ht="15" hidden="false" customHeight="false" outlineLevel="0" collapsed="false">
      <c r="I500" s="17" t="str">
        <f aca="false">IF(E500="","",IF(D500="BUY",E500,-E500))</f>
        <v/>
      </c>
      <c r="J500" s="18" t="str">
        <f aca="false">IF(E500="","",I500*F500)</f>
        <v/>
      </c>
    </row>
    <row r="501" customFormat="false" ht="15" hidden="false" customHeight="false" outlineLevel="0" collapsed="false">
      <c r="I501" s="17" t="str">
        <f aca="false">IF(E501="","",IF(D501="BUY",E501,-E501))</f>
        <v/>
      </c>
      <c r="J501" s="18" t="str">
        <f aca="false">IF(E501="","",I501*F501)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7" min="2" style="0" width="12"/>
  </cols>
  <sheetData>
    <row r="1" customFormat="false" ht="23.85" hidden="false" customHeight="false" outlineLevel="0" collapsed="false">
      <c r="A1" s="10" t="s">
        <v>185</v>
      </c>
      <c r="B1" s="10" t="s">
        <v>42</v>
      </c>
      <c r="C1" s="10" t="s">
        <v>47</v>
      </c>
      <c r="D1" s="10" t="s">
        <v>50</v>
      </c>
      <c r="E1" s="10" t="s">
        <v>54</v>
      </c>
      <c r="F1" s="10" t="s">
        <v>58</v>
      </c>
      <c r="G1" s="10" t="s">
        <v>62</v>
      </c>
      <c r="H1" s="10" t="s">
        <v>66</v>
      </c>
      <c r="I1" s="10" t="s">
        <v>71</v>
      </c>
      <c r="J1" s="10" t="s">
        <v>73</v>
      </c>
      <c r="K1" s="10" t="s">
        <v>76</v>
      </c>
      <c r="L1" s="10" t="s">
        <v>80</v>
      </c>
      <c r="M1" s="10" t="s">
        <v>84</v>
      </c>
      <c r="N1" s="10" t="s">
        <v>87</v>
      </c>
      <c r="O1" s="10" t="s">
        <v>92</v>
      </c>
      <c r="P1" s="10" t="s">
        <v>95</v>
      </c>
      <c r="Q1" s="10" t="s">
        <v>100</v>
      </c>
      <c r="R1" s="10" t="s">
        <v>104</v>
      </c>
      <c r="S1" s="10" t="s">
        <v>109</v>
      </c>
      <c r="T1" s="10" t="s">
        <v>114</v>
      </c>
      <c r="U1" s="10" t="s">
        <v>117</v>
      </c>
      <c r="V1" s="10" t="s">
        <v>121</v>
      </c>
      <c r="W1" s="10" t="s">
        <v>126</v>
      </c>
      <c r="X1" s="10" t="s">
        <v>130</v>
      </c>
      <c r="Y1" s="10" t="s">
        <v>135</v>
      </c>
      <c r="Z1" s="10" t="s">
        <v>140</v>
      </c>
      <c r="AA1" s="10" t="s">
        <v>145</v>
      </c>
      <c r="AB1" s="10" t="s">
        <v>149</v>
      </c>
      <c r="AC1" s="10" t="s">
        <v>153</v>
      </c>
      <c r="AD1" s="10" t="s">
        <v>157</v>
      </c>
      <c r="AE1" s="10" t="s">
        <v>162</v>
      </c>
      <c r="AF1" s="10" t="s">
        <v>167</v>
      </c>
      <c r="AG1" s="10" t="s">
        <v>173</v>
      </c>
      <c r="AH1" s="10" t="s">
        <v>177</v>
      </c>
      <c r="AI1" s="10" t="s">
        <v>179</v>
      </c>
      <c r="AJ1" s="10" t="s">
        <v>181</v>
      </c>
      <c r="AK1" s="10" t="s">
        <v>264</v>
      </c>
    </row>
    <row r="2" customFormat="false" ht="15" hidden="false" customHeight="false" outlineLevel="0" collapsed="false">
      <c r="A2" s="14" t="n">
        <v>46101</v>
      </c>
      <c r="B2" s="16" t="n">
        <v>366.75</v>
      </c>
      <c r="C2" s="16" t="n">
        <v>780.45</v>
      </c>
      <c r="D2" s="16" t="n">
        <v>1058</v>
      </c>
      <c r="E2" s="16" t="n">
        <v>259.25</v>
      </c>
      <c r="F2" s="16" t="n">
        <v>938.6</v>
      </c>
      <c r="G2" s="16" t="n">
        <v>330.5</v>
      </c>
      <c r="H2" s="16" t="n">
        <v>1255.9</v>
      </c>
      <c r="I2" s="16" t="n">
        <v>2390.6</v>
      </c>
      <c r="J2" s="16" t="n">
        <v>1333.7</v>
      </c>
      <c r="K2" s="16" t="n">
        <v>380.95</v>
      </c>
      <c r="L2" s="16" t="n">
        <v>402.4</v>
      </c>
      <c r="M2" s="16" t="n">
        <v>120.53</v>
      </c>
      <c r="N2" s="16" t="n">
        <v>796.9</v>
      </c>
      <c r="O2" s="16" t="n">
        <v>117.1</v>
      </c>
      <c r="P2" s="16" t="n">
        <v>470</v>
      </c>
      <c r="Q2" s="16" t="n">
        <v>1365.4</v>
      </c>
      <c r="R2" s="16" t="n">
        <v>3165.9</v>
      </c>
      <c r="S2" s="16" t="n">
        <v>105.66</v>
      </c>
      <c r="T2" s="16" t="n">
        <v>615.55</v>
      </c>
      <c r="U2" s="16" t="n">
        <v>232.29</v>
      </c>
      <c r="V2" s="16" t="n">
        <v>1846.1</v>
      </c>
      <c r="W2" s="16" t="n">
        <v>146.65</v>
      </c>
      <c r="X2" s="16" t="n">
        <v>4106.6</v>
      </c>
      <c r="Y2" s="16" t="n">
        <v>299.95</v>
      </c>
      <c r="Z2" s="16" t="n">
        <v>2026.8</v>
      </c>
      <c r="AA2" s="16" t="n">
        <v>21585</v>
      </c>
      <c r="AB2" s="16" t="n">
        <v>6909</v>
      </c>
      <c r="AC2" s="16" t="n">
        <v>3066.1</v>
      </c>
      <c r="AD2" s="16" t="n">
        <v>420.55</v>
      </c>
      <c r="AE2" s="16" t="n">
        <v>3434.8</v>
      </c>
      <c r="AF2" s="16" t="n">
        <v>336.25</v>
      </c>
      <c r="AG2" s="16" t="n">
        <v>84.0625</v>
      </c>
      <c r="AH2" s="16" t="n">
        <v>84.0625</v>
      </c>
      <c r="AI2" s="16" t="n">
        <v>84.0625</v>
      </c>
      <c r="AJ2" s="16" t="n">
        <v>84.0625</v>
      </c>
      <c r="AK2" s="16" t="n">
        <v>21327.9</v>
      </c>
    </row>
    <row r="3" customFormat="false" ht="15" hidden="false" customHeight="false" outlineLevel="0" collapsed="false">
      <c r="A3" s="14" t="n">
        <v>46310</v>
      </c>
      <c r="B3" s="16" t="n">
        <v>445.55</v>
      </c>
      <c r="C3" s="16" t="n">
        <v>725.15</v>
      </c>
      <c r="D3" s="16" t="n">
        <v>959</v>
      </c>
      <c r="E3" s="16" t="n">
        <v>323.3</v>
      </c>
      <c r="F3" s="16" t="n">
        <v>950.75</v>
      </c>
      <c r="G3" s="16" t="n">
        <v>309.95</v>
      </c>
      <c r="H3" s="16" t="n">
        <v>1109.1</v>
      </c>
      <c r="I3" s="16" t="n">
        <v>2356.7</v>
      </c>
      <c r="J3" s="16" t="n">
        <v>1370.1</v>
      </c>
      <c r="K3" s="16" t="n">
        <v>314.2</v>
      </c>
      <c r="L3" s="16" t="n">
        <v>349.75</v>
      </c>
      <c r="M3" s="16" t="n">
        <v>108.25</v>
      </c>
      <c r="N3" s="16" t="n">
        <v>1054.4</v>
      </c>
      <c r="O3" s="16" t="n">
        <v>116.111</v>
      </c>
      <c r="P3" s="16" t="n">
        <v>664.75</v>
      </c>
      <c r="Q3" s="16" t="n">
        <v>1744.6</v>
      </c>
      <c r="R3" s="16" t="n">
        <v>2493.4</v>
      </c>
      <c r="S3" s="16" t="n">
        <v>113.41</v>
      </c>
      <c r="T3" s="16" t="n">
        <v>745</v>
      </c>
      <c r="U3" s="16" t="n">
        <v>319.6</v>
      </c>
      <c r="V3" s="16" t="n">
        <v>1846.9</v>
      </c>
      <c r="W3" s="16" t="n">
        <v>160.3</v>
      </c>
      <c r="X3" s="16" t="n">
        <v>4439.6</v>
      </c>
      <c r="Y3" s="16" t="n">
        <v>264.3</v>
      </c>
      <c r="Z3" s="16" t="n">
        <v>1825</v>
      </c>
      <c r="AA3" s="16" t="n">
        <v>17604</v>
      </c>
      <c r="AB3" s="16" t="n">
        <v>7237.5</v>
      </c>
      <c r="AC3" s="16" t="n">
        <v>2848.4</v>
      </c>
      <c r="AD3" s="16" t="n">
        <v>349.4</v>
      </c>
      <c r="AE3" s="16" t="n">
        <v>3648.7</v>
      </c>
      <c r="AF3" s="16" t="n">
        <v>245.4</v>
      </c>
      <c r="AG3" s="16" t="n">
        <v>359</v>
      </c>
      <c r="AH3" s="16" t="n">
        <v>32.43</v>
      </c>
      <c r="AI3" s="16" t="n">
        <v>31.5</v>
      </c>
      <c r="AJ3" s="16" t="n">
        <v>29.55</v>
      </c>
      <c r="AK3" s="16" t="n">
        <v>22155.55</v>
      </c>
    </row>
    <row r="64" customFormat="false" ht="15" hidden="false" customHeight="false" outlineLevel="0" collapsed="false">
      <c r="A64" s="7"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s>
  <sheetData>
    <row r="1" customFormat="false" ht="15" hidden="false" customHeight="false" outlineLevel="0" collapsed="false">
      <c r="A1" s="19" t="s">
        <v>185</v>
      </c>
      <c r="B1" s="19" t="str">
        <f aca="false">prices!B1</f>
        <v>KOTAKBANK</v>
      </c>
      <c r="C1" s="19" t="str">
        <f aca="false">prices!C1</f>
        <v>HDFCBANK</v>
      </c>
      <c r="D1" s="19" t="str">
        <f aca="false">prices!D1</f>
        <v>SBIN</v>
      </c>
      <c r="E1" s="19" t="str">
        <f aca="false">prices!E1</f>
        <v>MANAPPURAM</v>
      </c>
      <c r="F1" s="19" t="str">
        <f aca="false">prices!F1</f>
        <v>SHRIRAMFIN</v>
      </c>
      <c r="G1" s="19" t="str">
        <f aca="false">prices!G1</f>
        <v>RECLTD</v>
      </c>
      <c r="H1" s="19" t="str">
        <f aca="false">prices!H1</f>
        <v>INFY</v>
      </c>
      <c r="I1" s="19" t="str">
        <f aca="false">prices!I1</f>
        <v>TCS</v>
      </c>
      <c r="J1" s="19" t="str">
        <f aca="false">prices!J1</f>
        <v>HCLTECH</v>
      </c>
      <c r="K1" s="19" t="str">
        <f aca="false">prices!K1</f>
        <v>NTPC</v>
      </c>
      <c r="L1" s="19" t="str">
        <f aca="false">prices!L1</f>
        <v>TATAPOWER</v>
      </c>
      <c r="M1" s="19" t="str">
        <f aca="false">prices!M1</f>
        <v>IEX</v>
      </c>
      <c r="N1" s="19" t="str">
        <f aca="false">prices!N1</f>
        <v>LODHA</v>
      </c>
      <c r="O1" s="19" t="str">
        <f aca="false">prices!O1</f>
        <v>KRT</v>
      </c>
      <c r="P1" s="19" t="str">
        <f aca="false">prices!P1</f>
        <v>WEWORK</v>
      </c>
      <c r="Q1" s="19" t="str">
        <f aca="false">prices!Q1</f>
        <v>ADANIPORTS</v>
      </c>
      <c r="R1" s="19" t="str">
        <f aca="false">prices!R1</f>
        <v>WAAREEENER</v>
      </c>
      <c r="S1" s="19" t="str">
        <f aca="false">prices!S1</f>
        <v>LEMONTREE</v>
      </c>
      <c r="T1" s="19" t="str">
        <f aca="false">prices!T1</f>
        <v>INDHOTEL</v>
      </c>
      <c r="U1" s="19" t="str">
        <f aca="false">prices!U1</f>
        <v>ETERNAL</v>
      </c>
      <c r="V1" s="19" t="str">
        <f aca="false">prices!V1</f>
        <v>BHARTIARTL</v>
      </c>
      <c r="W1" s="19" t="str">
        <f aca="false">prices!W1</f>
        <v>AXISHEALTH</v>
      </c>
      <c r="X1" s="19" t="str">
        <f aca="false">prices!X1</f>
        <v>TITAN</v>
      </c>
      <c r="Y1" s="19" t="str">
        <f aca="false">prices!Y1</f>
        <v>ITC</v>
      </c>
      <c r="Z1" s="19" t="str">
        <f aca="false">prices!Z1</f>
        <v>FIEMIND</v>
      </c>
      <c r="AA1" s="19" t="str">
        <f aca="false">prices!AA1</f>
        <v>FORCEMOT</v>
      </c>
      <c r="AB1" s="19" t="str">
        <f aca="false">prices!AB1</f>
        <v>EICHERMOT</v>
      </c>
      <c r="AC1" s="19" t="str">
        <f aca="false">prices!AC1</f>
        <v>M&amp;M</v>
      </c>
      <c r="AD1" s="19" t="str">
        <f aca="false">prices!AD1</f>
        <v>AMBUJACEM</v>
      </c>
      <c r="AE1" s="19" t="str">
        <f aca="false">prices!AE1</f>
        <v>LT</v>
      </c>
      <c r="AF1" s="19" t="str">
        <f aca="false">prices!AF1</f>
        <v>VEDL</v>
      </c>
      <c r="AG1" s="19" t="str">
        <f aca="false">prices!AG1</f>
        <v>VEDL-AL</v>
      </c>
      <c r="AH1" s="19" t="str">
        <f aca="false">prices!AH1</f>
        <v>VEDL-PWR</v>
      </c>
      <c r="AI1" s="19" t="str">
        <f aca="false">prices!AI1</f>
        <v>VEDL-OG</v>
      </c>
      <c r="AJ1" s="19" t="str">
        <f aca="false">prices!AJ1</f>
        <v>VEDL-IS</v>
      </c>
    </row>
    <row r="2" customFormat="false" ht="15" hidden="false" customHeight="false" outlineLevel="0" collapsed="false">
      <c r="A2" s="20" t="n">
        <f aca="false">IF(prices!A2="","",prices!A2)</f>
        <v>46101</v>
      </c>
      <c r="B2" s="17" t="n">
        <f aca="false">IF($A2="","",SUMIFS(transactions!$I$2:$I$501,transactions!$C$2:$C$501,B$1,transactions!$B$2:$B$501,"&lt;="&amp;$A2))</f>
        <v>1363</v>
      </c>
      <c r="C2" s="17" t="n">
        <f aca="false">IF($A2="","",SUMIFS(transactions!$I$2:$I$501,transactions!$C$2:$C$501,C$1,transactions!$B$2:$B$501,"&lt;="&amp;$A2))</f>
        <v>1025</v>
      </c>
      <c r="D2" s="17" t="n">
        <f aca="false">IF($A2="","",SUMIFS(transactions!$I$2:$I$501,transactions!$C$2:$C$501,D$1,transactions!$B$2:$B$501,"&lt;="&amp;$A2))</f>
        <v>662</v>
      </c>
      <c r="E2" s="17" t="n">
        <f aca="false">IF($A2="","",SUMIFS(transactions!$I$2:$I$501,transactions!$C$2:$C$501,E$1,transactions!$B$2:$B$501,"&lt;="&amp;$A2))</f>
        <v>1929</v>
      </c>
      <c r="F2" s="17" t="n">
        <f aca="false">IF($A2="","",SUMIFS(transactions!$I$2:$I$501,transactions!$C$2:$C$501,F$1,transactions!$B$2:$B$501,"&lt;="&amp;$A2))</f>
        <v>533</v>
      </c>
      <c r="G2" s="17" t="n">
        <f aca="false">IF($A2="","",SUMIFS(transactions!$I$2:$I$501,transactions!$C$2:$C$501,G$1,transactions!$B$2:$B$501,"&lt;="&amp;$A2))</f>
        <v>1210</v>
      </c>
      <c r="H2" s="17" t="n">
        <f aca="false">IF($A2="","",SUMIFS(transactions!$I$2:$I$501,transactions!$C$2:$C$501,H$1,transactions!$B$2:$B$501,"&lt;="&amp;$A2))</f>
        <v>279</v>
      </c>
      <c r="I2" s="17" t="n">
        <f aca="false">IF($A2="","",SUMIFS(transactions!$I$2:$I$501,transactions!$C$2:$C$501,I$1,transactions!$B$2:$B$501,"&lt;="&amp;$A2))</f>
        <v>147</v>
      </c>
      <c r="J2" s="17" t="n">
        <f aca="false">IF($A2="","",SUMIFS(transactions!$I$2:$I$501,transactions!$C$2:$C$501,J$1,transactions!$B$2:$B$501,"&lt;="&amp;$A2))</f>
        <v>112</v>
      </c>
      <c r="K2" s="17" t="n">
        <f aca="false">IF($A2="","",SUMIFS(transactions!$I$2:$I$501,transactions!$C$2:$C$501,K$1,transactions!$B$2:$B$501,"&lt;="&amp;$A2))</f>
        <v>853</v>
      </c>
      <c r="L2" s="17" t="n">
        <f aca="false">IF($A2="","",SUMIFS(transactions!$I$2:$I$501,transactions!$C$2:$C$501,L$1,transactions!$B$2:$B$501,"&lt;="&amp;$A2))</f>
        <v>808</v>
      </c>
      <c r="M2" s="17" t="n">
        <f aca="false">IF($A2="","",SUMIFS(transactions!$I$2:$I$501,transactions!$C$2:$C$501,M$1,transactions!$B$2:$B$501,"&lt;="&amp;$A2))</f>
        <v>414</v>
      </c>
      <c r="N2" s="17" t="n">
        <f aca="false">IF($A2="","",SUMIFS(transactions!$I$2:$I$501,transactions!$C$2:$C$501,N$1,transactions!$B$2:$B$501,"&lt;="&amp;$A2))</f>
        <v>251</v>
      </c>
      <c r="O2" s="17" t="n">
        <f aca="false">IF($A2="","",SUMIFS(transactions!$I$2:$I$501,transactions!$C$2:$C$501,O$1,transactions!$B$2:$B$501,"&lt;="&amp;$A2))</f>
        <v>1708</v>
      </c>
      <c r="P2" s="17" t="n">
        <f aca="false">IF($A2="","",SUMIFS(transactions!$I$2:$I$501,transactions!$C$2:$C$501,P$1,transactions!$B$2:$B$501,"&lt;="&amp;$A2))</f>
        <v>213</v>
      </c>
      <c r="Q2" s="17" t="n">
        <f aca="false">IF($A2="","",SUMIFS(transactions!$I$2:$I$501,transactions!$C$2:$C$501,Q$1,transactions!$B$2:$B$501,"&lt;="&amp;$A2))</f>
        <v>220</v>
      </c>
      <c r="R2" s="17" t="n">
        <f aca="false">IF($A2="","",SUMIFS(transactions!$I$2:$I$501,transactions!$C$2:$C$501,R$1,transactions!$B$2:$B$501,"&lt;="&amp;$A2))</f>
        <v>126</v>
      </c>
      <c r="S2" s="17" t="n">
        <f aca="false">IF($A2="","",SUMIFS(transactions!$I$2:$I$501,transactions!$C$2:$C$501,S$1,transactions!$B$2:$B$501,"&lt;="&amp;$A2))</f>
        <v>2366</v>
      </c>
      <c r="T2" s="17" t="n">
        <f aca="false">IF($A2="","",SUMIFS(transactions!$I$2:$I$501,transactions!$C$2:$C$501,T$1,transactions!$B$2:$B$501,"&lt;="&amp;$A2))</f>
        <v>487</v>
      </c>
      <c r="U2" s="17" t="n">
        <f aca="false">IF($A2="","",SUMIFS(transactions!$I$2:$I$501,transactions!$C$2:$C$501,U$1,transactions!$B$2:$B$501,"&lt;="&amp;$A2))</f>
        <v>1076</v>
      </c>
      <c r="V2" s="17" t="n">
        <f aca="false">IF($A2="","",SUMIFS(transactions!$I$2:$I$501,transactions!$C$2:$C$501,V$1,transactions!$B$2:$B$501,"&lt;="&amp;$A2))</f>
        <v>271</v>
      </c>
      <c r="W2" s="17" t="n">
        <f aca="false">IF($A2="","",SUMIFS(transactions!$I$2:$I$501,transactions!$C$2:$C$501,W$1,transactions!$B$2:$B$501,"&lt;="&amp;$A2))</f>
        <v>4773</v>
      </c>
      <c r="X2" s="17" t="n">
        <f aca="false">IF($A2="","",SUMIFS(transactions!$I$2:$I$501,transactions!$C$2:$C$501,X$1,transactions!$B$2:$B$501,"&lt;="&amp;$A2))</f>
        <v>73</v>
      </c>
      <c r="Y2" s="17" t="n">
        <f aca="false">IF($A2="","",SUMIFS(transactions!$I$2:$I$501,transactions!$C$2:$C$501,Y$1,transactions!$B$2:$B$501,"&lt;="&amp;$A2))</f>
        <v>667</v>
      </c>
      <c r="Z2" s="17" t="n">
        <f aca="false">IF($A2="","",SUMIFS(transactions!$I$2:$I$501,transactions!$C$2:$C$501,Z$1,transactions!$B$2:$B$501,"&lt;="&amp;$A2))</f>
        <v>25</v>
      </c>
      <c r="AA2" s="17" t="n">
        <f aca="false">IF($A2="","",SUMIFS(transactions!$I$2:$I$501,transactions!$C$2:$C$501,AA$1,transactions!$B$2:$B$501,"&lt;="&amp;$A2))</f>
        <v>9</v>
      </c>
      <c r="AB2" s="17" t="n">
        <f aca="false">IF($A2="","",SUMIFS(transactions!$I$2:$I$501,transactions!$C$2:$C$501,AB$1,transactions!$B$2:$B$501,"&lt;="&amp;$A2))</f>
        <v>36</v>
      </c>
      <c r="AC2" s="17" t="n">
        <f aca="false">IF($A2="","",SUMIFS(transactions!$I$2:$I$501,transactions!$C$2:$C$501,AC$1,transactions!$B$2:$B$501,"&lt;="&amp;$A2))</f>
        <v>82</v>
      </c>
      <c r="AD2" s="17" t="n">
        <f aca="false">IF($A2="","",SUMIFS(transactions!$I$2:$I$501,transactions!$C$2:$C$501,AD$1,transactions!$B$2:$B$501,"&lt;="&amp;$A2))</f>
        <v>476</v>
      </c>
      <c r="AE2" s="17" t="n">
        <f aca="false">IF($A2="","",SUMIFS(transactions!$I$2:$I$501,transactions!$C$2:$C$501,AE$1,transactions!$B$2:$B$501,"&lt;="&amp;$A2))</f>
        <v>58</v>
      </c>
      <c r="AF2" s="17" t="n">
        <f aca="false">IF($A2="","",SUMIFS(transactions!$I$2:$I$501,transactions!$C$2:$C$501,AF$1,transactions!$B$2:$B$501,"&lt;="&amp;$A2))</f>
        <v>298</v>
      </c>
      <c r="AG2" s="17" t="n">
        <f aca="false">IF($A2="","",SUMIFS(transactions!$I$2:$I$501,transactions!$C$2:$C$501,AG$1,transactions!$B$2:$B$501,"&lt;="&amp;$A2))</f>
        <v>298</v>
      </c>
      <c r="AH2" s="17" t="n">
        <f aca="false">IF($A2="","",SUMIFS(transactions!$I$2:$I$501,transactions!$C$2:$C$501,AH$1,transactions!$B$2:$B$501,"&lt;="&amp;$A2))</f>
        <v>298</v>
      </c>
      <c r="AI2" s="17" t="n">
        <f aca="false">IF($A2="","",SUMIFS(transactions!$I$2:$I$501,transactions!$C$2:$C$501,AI$1,transactions!$B$2:$B$501,"&lt;="&amp;$A2))</f>
        <v>298</v>
      </c>
      <c r="AJ2" s="17" t="n">
        <f aca="false">IF($A2="","",SUMIFS(transactions!$I$2:$I$501,transactions!$C$2:$C$501,AJ$1,transactions!$B$2:$B$501,"&lt;="&amp;$A2))</f>
        <v>298</v>
      </c>
    </row>
    <row r="3" customFormat="false" ht="15" hidden="false" customHeight="false" outlineLevel="0" collapsed="false">
      <c r="A3" s="20" t="n">
        <f aca="false">IF(prices!A3="","",prices!A3)</f>
        <v>46310</v>
      </c>
      <c r="B3" s="17" t="n">
        <f aca="false">IF($A3="","",SUMIFS(transactions!$I$2:$I$501,transactions!$C$2:$C$501,B$1,transactions!$B$2:$B$501,"&lt;="&amp;$A3))</f>
        <v>1363</v>
      </c>
      <c r="C3" s="17" t="n">
        <f aca="false">IF($A3="","",SUMIFS(transactions!$I$2:$I$501,transactions!$C$2:$C$501,C$1,transactions!$B$2:$B$501,"&lt;="&amp;$A3))</f>
        <v>1025</v>
      </c>
      <c r="D3" s="17" t="n">
        <f aca="false">IF($A3="","",SUMIFS(transactions!$I$2:$I$501,transactions!$C$2:$C$501,D$1,transactions!$B$2:$B$501,"&lt;="&amp;$A3))</f>
        <v>662</v>
      </c>
      <c r="E3" s="17" t="n">
        <f aca="false">IF($A3="","",SUMIFS(transactions!$I$2:$I$501,transactions!$C$2:$C$501,E$1,transactions!$B$2:$B$501,"&lt;="&amp;$A3))</f>
        <v>1929</v>
      </c>
      <c r="F3" s="17" t="n">
        <f aca="false">IF($A3="","",SUMIFS(transactions!$I$2:$I$501,transactions!$C$2:$C$501,F$1,transactions!$B$2:$B$501,"&lt;="&amp;$A3))</f>
        <v>533</v>
      </c>
      <c r="G3" s="17" t="n">
        <f aca="false">IF($A3="","",SUMIFS(transactions!$I$2:$I$501,transactions!$C$2:$C$501,G$1,transactions!$B$2:$B$501,"&lt;="&amp;$A3))</f>
        <v>1210</v>
      </c>
      <c r="H3" s="17" t="n">
        <f aca="false">IF($A3="","",SUMIFS(transactions!$I$2:$I$501,transactions!$C$2:$C$501,H$1,transactions!$B$2:$B$501,"&lt;="&amp;$A3))</f>
        <v>279</v>
      </c>
      <c r="I3" s="17" t="n">
        <f aca="false">IF($A3="","",SUMIFS(transactions!$I$2:$I$501,transactions!$C$2:$C$501,I$1,transactions!$B$2:$B$501,"&lt;="&amp;$A3))</f>
        <v>147</v>
      </c>
      <c r="J3" s="17" t="n">
        <f aca="false">IF($A3="","",SUMIFS(transactions!$I$2:$I$501,transactions!$C$2:$C$501,J$1,transactions!$B$2:$B$501,"&lt;="&amp;$A3))</f>
        <v>112</v>
      </c>
      <c r="K3" s="17" t="n">
        <f aca="false">IF($A3="","",SUMIFS(transactions!$I$2:$I$501,transactions!$C$2:$C$501,K$1,transactions!$B$2:$B$501,"&lt;="&amp;$A3))</f>
        <v>853</v>
      </c>
      <c r="L3" s="17" t="n">
        <f aca="false">IF($A3="","",SUMIFS(transactions!$I$2:$I$501,transactions!$C$2:$C$501,L$1,transactions!$B$2:$B$501,"&lt;="&amp;$A3))</f>
        <v>808</v>
      </c>
      <c r="M3" s="17" t="n">
        <f aca="false">IF($A3="","",SUMIFS(transactions!$I$2:$I$501,transactions!$C$2:$C$501,M$1,transactions!$B$2:$B$501,"&lt;="&amp;$A3))</f>
        <v>414</v>
      </c>
      <c r="N3" s="17" t="n">
        <f aca="false">IF($A3="","",SUMIFS(transactions!$I$2:$I$501,transactions!$C$2:$C$501,N$1,transactions!$B$2:$B$501,"&lt;="&amp;$A3))</f>
        <v>251</v>
      </c>
      <c r="O3" s="17" t="n">
        <f aca="false">IF($A3="","",SUMIFS(transactions!$I$2:$I$501,transactions!$C$2:$C$501,O$1,transactions!$B$2:$B$501,"&lt;="&amp;$A3))</f>
        <v>1708</v>
      </c>
      <c r="P3" s="17" t="n">
        <f aca="false">IF($A3="","",SUMIFS(transactions!$I$2:$I$501,transactions!$C$2:$C$501,P$1,transactions!$B$2:$B$501,"&lt;="&amp;$A3))</f>
        <v>213</v>
      </c>
      <c r="Q3" s="17" t="n">
        <f aca="false">IF($A3="","",SUMIFS(transactions!$I$2:$I$501,transactions!$C$2:$C$501,Q$1,transactions!$B$2:$B$501,"&lt;="&amp;$A3))</f>
        <v>220</v>
      </c>
      <c r="R3" s="17" t="n">
        <f aca="false">IF($A3="","",SUMIFS(transactions!$I$2:$I$501,transactions!$C$2:$C$501,R$1,transactions!$B$2:$B$501,"&lt;="&amp;$A3))</f>
        <v>126</v>
      </c>
      <c r="S3" s="17" t="n">
        <f aca="false">IF($A3="","",SUMIFS(transactions!$I$2:$I$501,transactions!$C$2:$C$501,S$1,transactions!$B$2:$B$501,"&lt;="&amp;$A3))</f>
        <v>2366</v>
      </c>
      <c r="T3" s="17" t="n">
        <f aca="false">IF($A3="","",SUMIFS(transactions!$I$2:$I$501,transactions!$C$2:$C$501,T$1,transactions!$B$2:$B$501,"&lt;="&amp;$A3))</f>
        <v>487</v>
      </c>
      <c r="U3" s="17" t="n">
        <f aca="false">IF($A3="","",SUMIFS(transactions!$I$2:$I$501,transactions!$C$2:$C$501,U$1,transactions!$B$2:$B$501,"&lt;="&amp;$A3))</f>
        <v>1076</v>
      </c>
      <c r="V3" s="17" t="n">
        <f aca="false">IF($A3="","",SUMIFS(transactions!$I$2:$I$501,transactions!$C$2:$C$501,V$1,transactions!$B$2:$B$501,"&lt;="&amp;$A3))</f>
        <v>271</v>
      </c>
      <c r="W3" s="17" t="n">
        <f aca="false">IF($A3="","",SUMIFS(transactions!$I$2:$I$501,transactions!$C$2:$C$501,W$1,transactions!$B$2:$B$501,"&lt;="&amp;$A3))</f>
        <v>4773</v>
      </c>
      <c r="X3" s="17" t="n">
        <f aca="false">IF($A3="","",SUMIFS(transactions!$I$2:$I$501,transactions!$C$2:$C$501,X$1,transactions!$B$2:$B$501,"&lt;="&amp;$A3))</f>
        <v>73</v>
      </c>
      <c r="Y3" s="17" t="n">
        <f aca="false">IF($A3="","",SUMIFS(transactions!$I$2:$I$501,transactions!$C$2:$C$501,Y$1,transactions!$B$2:$B$501,"&lt;="&amp;$A3))</f>
        <v>667</v>
      </c>
      <c r="Z3" s="17" t="n">
        <f aca="false">IF($A3="","",SUMIFS(transactions!$I$2:$I$501,transactions!$C$2:$C$501,Z$1,transactions!$B$2:$B$501,"&lt;="&amp;$A3))</f>
        <v>25</v>
      </c>
      <c r="AA3" s="17" t="n">
        <f aca="false">IF($A3="","",SUMIFS(transactions!$I$2:$I$501,transactions!$C$2:$C$501,AA$1,transactions!$B$2:$B$501,"&lt;="&amp;$A3))</f>
        <v>9</v>
      </c>
      <c r="AB3" s="17" t="n">
        <f aca="false">IF($A3="","",SUMIFS(transactions!$I$2:$I$501,transactions!$C$2:$C$501,AB$1,transactions!$B$2:$B$501,"&lt;="&amp;$A3))</f>
        <v>36</v>
      </c>
      <c r="AC3" s="17" t="n">
        <f aca="false">IF($A3="","",SUMIFS(transactions!$I$2:$I$501,transactions!$C$2:$C$501,AC$1,transactions!$B$2:$B$501,"&lt;="&amp;$A3))</f>
        <v>82</v>
      </c>
      <c r="AD3" s="17" t="n">
        <f aca="false">IF($A3="","",SUMIFS(transactions!$I$2:$I$501,transactions!$C$2:$C$501,AD$1,transactions!$B$2:$B$501,"&lt;="&amp;$A3))</f>
        <v>476</v>
      </c>
      <c r="AE3" s="17" t="n">
        <f aca="false">IF($A3="","",SUMIFS(transactions!$I$2:$I$501,transactions!$C$2:$C$501,AE$1,transactions!$B$2:$B$501,"&lt;="&amp;$A3))</f>
        <v>58</v>
      </c>
      <c r="AF3" s="17" t="n">
        <f aca="false">IF($A3="","",SUMIFS(transactions!$I$2:$I$501,transactions!$C$2:$C$501,AF$1,transactions!$B$2:$B$501,"&lt;="&amp;$A3))</f>
        <v>298</v>
      </c>
      <c r="AG3" s="17" t="n">
        <f aca="false">IF($A3="","",SUMIFS(transactions!$I$2:$I$501,transactions!$C$2:$C$501,AG$1,transactions!$B$2:$B$501,"&lt;="&amp;$A3))</f>
        <v>298</v>
      </c>
      <c r="AH3" s="17" t="n">
        <f aca="false">IF($A3="","",SUMIFS(transactions!$I$2:$I$501,transactions!$C$2:$C$501,AH$1,transactions!$B$2:$B$501,"&lt;="&amp;$A3))</f>
        <v>298</v>
      </c>
      <c r="AI3" s="17" t="n">
        <f aca="false">IF($A3="","",SUMIFS(transactions!$I$2:$I$501,transactions!$C$2:$C$501,AI$1,transactions!$B$2:$B$501,"&lt;="&amp;$A3))</f>
        <v>298</v>
      </c>
      <c r="AJ3" s="17" t="n">
        <f aca="false">IF($A3="","",SUMIFS(transactions!$I$2:$I$501,transactions!$C$2:$C$501,AJ$1,transactions!$B$2:$B$501,"&lt;="&amp;$A3))</f>
        <v>298</v>
      </c>
    </row>
    <row r="4" customFormat="false" ht="15" hidden="false" customHeight="false" outlineLevel="0" collapsed="false">
      <c r="A4" s="20" t="str">
        <f aca="false">IF(prices!A4="","",prices!A4)</f>
        <v/>
      </c>
      <c r="B4" s="17" t="str">
        <f aca="false">IF($A4="","",SUMIFS(transactions!$I$2:$I$501,transactions!$C$2:$C$501,B$1,transactions!$B$2:$B$501,"&lt;="&amp;$A4))</f>
        <v/>
      </c>
      <c r="C4" s="17" t="str">
        <f aca="false">IF($A4="","",SUMIFS(transactions!$I$2:$I$501,transactions!$C$2:$C$501,C$1,transactions!$B$2:$B$501,"&lt;="&amp;$A4))</f>
        <v/>
      </c>
      <c r="D4" s="17" t="str">
        <f aca="false">IF($A4="","",SUMIFS(transactions!$I$2:$I$501,transactions!$C$2:$C$501,D$1,transactions!$B$2:$B$501,"&lt;="&amp;$A4))</f>
        <v/>
      </c>
      <c r="E4" s="17" t="str">
        <f aca="false">IF($A4="","",SUMIFS(transactions!$I$2:$I$501,transactions!$C$2:$C$501,E$1,transactions!$B$2:$B$501,"&lt;="&amp;$A4))</f>
        <v/>
      </c>
      <c r="F4" s="17" t="str">
        <f aca="false">IF($A4="","",SUMIFS(transactions!$I$2:$I$501,transactions!$C$2:$C$501,F$1,transactions!$B$2:$B$501,"&lt;="&amp;$A4))</f>
        <v/>
      </c>
      <c r="G4" s="17" t="str">
        <f aca="false">IF($A4="","",SUMIFS(transactions!$I$2:$I$501,transactions!$C$2:$C$501,G$1,transactions!$B$2:$B$501,"&lt;="&amp;$A4))</f>
        <v/>
      </c>
      <c r="H4" s="17" t="str">
        <f aca="false">IF($A4="","",SUMIFS(transactions!$I$2:$I$501,transactions!$C$2:$C$501,H$1,transactions!$B$2:$B$501,"&lt;="&amp;$A4))</f>
        <v/>
      </c>
      <c r="I4" s="17" t="str">
        <f aca="false">IF($A4="","",SUMIFS(transactions!$I$2:$I$501,transactions!$C$2:$C$501,I$1,transactions!$B$2:$B$501,"&lt;="&amp;$A4))</f>
        <v/>
      </c>
      <c r="J4" s="17" t="str">
        <f aca="false">IF($A4="","",SUMIFS(transactions!$I$2:$I$501,transactions!$C$2:$C$501,J$1,transactions!$B$2:$B$501,"&lt;="&amp;$A4))</f>
        <v/>
      </c>
      <c r="K4" s="17" t="str">
        <f aca="false">IF($A4="","",SUMIFS(transactions!$I$2:$I$501,transactions!$C$2:$C$501,K$1,transactions!$B$2:$B$501,"&lt;="&amp;$A4))</f>
        <v/>
      </c>
      <c r="L4" s="17" t="str">
        <f aca="false">IF($A4="","",SUMIFS(transactions!$I$2:$I$501,transactions!$C$2:$C$501,L$1,transactions!$B$2:$B$501,"&lt;="&amp;$A4))</f>
        <v/>
      </c>
      <c r="M4" s="17" t="str">
        <f aca="false">IF($A4="","",SUMIFS(transactions!$I$2:$I$501,transactions!$C$2:$C$501,M$1,transactions!$B$2:$B$501,"&lt;="&amp;$A4))</f>
        <v/>
      </c>
      <c r="N4" s="17" t="str">
        <f aca="false">IF($A4="","",SUMIFS(transactions!$I$2:$I$501,transactions!$C$2:$C$501,N$1,transactions!$B$2:$B$501,"&lt;="&amp;$A4))</f>
        <v/>
      </c>
      <c r="O4" s="17" t="str">
        <f aca="false">IF($A4="","",SUMIFS(transactions!$I$2:$I$501,transactions!$C$2:$C$501,O$1,transactions!$B$2:$B$501,"&lt;="&amp;$A4))</f>
        <v/>
      </c>
      <c r="P4" s="17" t="str">
        <f aca="false">IF($A4="","",SUMIFS(transactions!$I$2:$I$501,transactions!$C$2:$C$501,P$1,transactions!$B$2:$B$501,"&lt;="&amp;$A4))</f>
        <v/>
      </c>
      <c r="Q4" s="17" t="str">
        <f aca="false">IF($A4="","",SUMIFS(transactions!$I$2:$I$501,transactions!$C$2:$C$501,Q$1,transactions!$B$2:$B$501,"&lt;="&amp;$A4))</f>
        <v/>
      </c>
      <c r="R4" s="17" t="str">
        <f aca="false">IF($A4="","",SUMIFS(transactions!$I$2:$I$501,transactions!$C$2:$C$501,R$1,transactions!$B$2:$B$501,"&lt;="&amp;$A4))</f>
        <v/>
      </c>
      <c r="S4" s="17" t="str">
        <f aca="false">IF($A4="","",SUMIFS(transactions!$I$2:$I$501,transactions!$C$2:$C$501,S$1,transactions!$B$2:$B$501,"&lt;="&amp;$A4))</f>
        <v/>
      </c>
      <c r="T4" s="17" t="str">
        <f aca="false">IF($A4="","",SUMIFS(transactions!$I$2:$I$501,transactions!$C$2:$C$501,T$1,transactions!$B$2:$B$501,"&lt;="&amp;$A4))</f>
        <v/>
      </c>
      <c r="U4" s="17" t="str">
        <f aca="false">IF($A4="","",SUMIFS(transactions!$I$2:$I$501,transactions!$C$2:$C$501,U$1,transactions!$B$2:$B$501,"&lt;="&amp;$A4))</f>
        <v/>
      </c>
      <c r="V4" s="17" t="str">
        <f aca="false">IF($A4="","",SUMIFS(transactions!$I$2:$I$501,transactions!$C$2:$C$501,V$1,transactions!$B$2:$B$501,"&lt;="&amp;$A4))</f>
        <v/>
      </c>
      <c r="W4" s="17" t="str">
        <f aca="false">IF($A4="","",SUMIFS(transactions!$I$2:$I$501,transactions!$C$2:$C$501,W$1,transactions!$B$2:$B$501,"&lt;="&amp;$A4))</f>
        <v/>
      </c>
      <c r="X4" s="17" t="str">
        <f aca="false">IF($A4="","",SUMIFS(transactions!$I$2:$I$501,transactions!$C$2:$C$501,X$1,transactions!$B$2:$B$501,"&lt;="&amp;$A4))</f>
        <v/>
      </c>
      <c r="Y4" s="17" t="str">
        <f aca="false">IF($A4="","",SUMIFS(transactions!$I$2:$I$501,transactions!$C$2:$C$501,Y$1,transactions!$B$2:$B$501,"&lt;="&amp;$A4))</f>
        <v/>
      </c>
      <c r="Z4" s="17" t="str">
        <f aca="false">IF($A4="","",SUMIFS(transactions!$I$2:$I$501,transactions!$C$2:$C$501,Z$1,transactions!$B$2:$B$501,"&lt;="&amp;$A4))</f>
        <v/>
      </c>
      <c r="AA4" s="17" t="str">
        <f aca="false">IF($A4="","",SUMIFS(transactions!$I$2:$I$501,transactions!$C$2:$C$501,AA$1,transactions!$B$2:$B$501,"&lt;="&amp;$A4))</f>
        <v/>
      </c>
      <c r="AB4" s="17" t="str">
        <f aca="false">IF($A4="","",SUMIFS(transactions!$I$2:$I$501,transactions!$C$2:$C$501,AB$1,transactions!$B$2:$B$501,"&lt;="&amp;$A4))</f>
        <v/>
      </c>
      <c r="AC4" s="17" t="str">
        <f aca="false">IF($A4="","",SUMIFS(transactions!$I$2:$I$501,transactions!$C$2:$C$501,AC$1,transactions!$B$2:$B$501,"&lt;="&amp;$A4))</f>
        <v/>
      </c>
      <c r="AD4" s="17" t="str">
        <f aca="false">IF($A4="","",SUMIFS(transactions!$I$2:$I$501,transactions!$C$2:$C$501,AD$1,transactions!$B$2:$B$501,"&lt;="&amp;$A4))</f>
        <v/>
      </c>
      <c r="AE4" s="17" t="str">
        <f aca="false">IF($A4="","",SUMIFS(transactions!$I$2:$I$501,transactions!$C$2:$C$501,AE$1,transactions!$B$2:$B$501,"&lt;="&amp;$A4))</f>
        <v/>
      </c>
      <c r="AF4" s="17" t="str">
        <f aca="false">IF($A4="","",SUMIFS(transactions!$I$2:$I$501,transactions!$C$2:$C$501,AF$1,transactions!$B$2:$B$501,"&lt;="&amp;$A4))</f>
        <v/>
      </c>
      <c r="AG4" s="17" t="str">
        <f aca="false">IF($A4="","",SUMIFS(transactions!$I$2:$I$501,transactions!$C$2:$C$501,AG$1,transactions!$B$2:$B$501,"&lt;="&amp;$A4))</f>
        <v/>
      </c>
      <c r="AH4" s="17" t="str">
        <f aca="false">IF($A4="","",SUMIFS(transactions!$I$2:$I$501,transactions!$C$2:$C$501,AH$1,transactions!$B$2:$B$501,"&lt;="&amp;$A4))</f>
        <v/>
      </c>
      <c r="AI4" s="17" t="str">
        <f aca="false">IF($A4="","",SUMIFS(transactions!$I$2:$I$501,transactions!$C$2:$C$501,AI$1,transactions!$B$2:$B$501,"&lt;="&amp;$A4))</f>
        <v/>
      </c>
      <c r="AJ4" s="17" t="str">
        <f aca="false">IF($A4="","",SUMIFS(transactions!$I$2:$I$501,transactions!$C$2:$C$501,AJ$1,transactions!$B$2:$B$501,"&lt;="&amp;$A4))</f>
        <v/>
      </c>
    </row>
    <row r="5" customFormat="false" ht="15" hidden="false" customHeight="false" outlineLevel="0" collapsed="false">
      <c r="A5" s="20" t="str">
        <f aca="false">IF(prices!A5="","",prices!A5)</f>
        <v/>
      </c>
      <c r="B5" s="17" t="str">
        <f aca="false">IF($A5="","",SUMIFS(transactions!$I$2:$I$501,transactions!$C$2:$C$501,B$1,transactions!$B$2:$B$501,"&lt;="&amp;$A5))</f>
        <v/>
      </c>
      <c r="C5" s="17" t="str">
        <f aca="false">IF($A5="","",SUMIFS(transactions!$I$2:$I$501,transactions!$C$2:$C$501,C$1,transactions!$B$2:$B$501,"&lt;="&amp;$A5))</f>
        <v/>
      </c>
      <c r="D5" s="17" t="str">
        <f aca="false">IF($A5="","",SUMIFS(transactions!$I$2:$I$501,transactions!$C$2:$C$501,D$1,transactions!$B$2:$B$501,"&lt;="&amp;$A5))</f>
        <v/>
      </c>
      <c r="E5" s="17" t="str">
        <f aca="false">IF($A5="","",SUMIFS(transactions!$I$2:$I$501,transactions!$C$2:$C$501,E$1,transactions!$B$2:$B$501,"&lt;="&amp;$A5))</f>
        <v/>
      </c>
      <c r="F5" s="17" t="str">
        <f aca="false">IF($A5="","",SUMIFS(transactions!$I$2:$I$501,transactions!$C$2:$C$501,F$1,transactions!$B$2:$B$501,"&lt;="&amp;$A5))</f>
        <v/>
      </c>
      <c r="G5" s="17" t="str">
        <f aca="false">IF($A5="","",SUMIFS(transactions!$I$2:$I$501,transactions!$C$2:$C$501,G$1,transactions!$B$2:$B$501,"&lt;="&amp;$A5))</f>
        <v/>
      </c>
      <c r="H5" s="17" t="str">
        <f aca="false">IF($A5="","",SUMIFS(transactions!$I$2:$I$501,transactions!$C$2:$C$501,H$1,transactions!$B$2:$B$501,"&lt;="&amp;$A5))</f>
        <v/>
      </c>
      <c r="I5" s="17" t="str">
        <f aca="false">IF($A5="","",SUMIFS(transactions!$I$2:$I$501,transactions!$C$2:$C$501,I$1,transactions!$B$2:$B$501,"&lt;="&amp;$A5))</f>
        <v/>
      </c>
      <c r="J5" s="17" t="str">
        <f aca="false">IF($A5="","",SUMIFS(transactions!$I$2:$I$501,transactions!$C$2:$C$501,J$1,transactions!$B$2:$B$501,"&lt;="&amp;$A5))</f>
        <v/>
      </c>
      <c r="K5" s="17" t="str">
        <f aca="false">IF($A5="","",SUMIFS(transactions!$I$2:$I$501,transactions!$C$2:$C$501,K$1,transactions!$B$2:$B$501,"&lt;="&amp;$A5))</f>
        <v/>
      </c>
      <c r="L5" s="17" t="str">
        <f aca="false">IF($A5="","",SUMIFS(transactions!$I$2:$I$501,transactions!$C$2:$C$501,L$1,transactions!$B$2:$B$501,"&lt;="&amp;$A5))</f>
        <v/>
      </c>
      <c r="M5" s="17" t="str">
        <f aca="false">IF($A5="","",SUMIFS(transactions!$I$2:$I$501,transactions!$C$2:$C$501,M$1,transactions!$B$2:$B$501,"&lt;="&amp;$A5))</f>
        <v/>
      </c>
      <c r="N5" s="17" t="str">
        <f aca="false">IF($A5="","",SUMIFS(transactions!$I$2:$I$501,transactions!$C$2:$C$501,N$1,transactions!$B$2:$B$501,"&lt;="&amp;$A5))</f>
        <v/>
      </c>
      <c r="O5" s="17" t="str">
        <f aca="false">IF($A5="","",SUMIFS(transactions!$I$2:$I$501,transactions!$C$2:$C$501,O$1,transactions!$B$2:$B$501,"&lt;="&amp;$A5))</f>
        <v/>
      </c>
      <c r="P5" s="17" t="str">
        <f aca="false">IF($A5="","",SUMIFS(transactions!$I$2:$I$501,transactions!$C$2:$C$501,P$1,transactions!$B$2:$B$501,"&lt;="&amp;$A5))</f>
        <v/>
      </c>
      <c r="Q5" s="17" t="str">
        <f aca="false">IF($A5="","",SUMIFS(transactions!$I$2:$I$501,transactions!$C$2:$C$501,Q$1,transactions!$B$2:$B$501,"&lt;="&amp;$A5))</f>
        <v/>
      </c>
      <c r="R5" s="17" t="str">
        <f aca="false">IF($A5="","",SUMIFS(transactions!$I$2:$I$501,transactions!$C$2:$C$501,R$1,transactions!$B$2:$B$501,"&lt;="&amp;$A5))</f>
        <v/>
      </c>
      <c r="S5" s="17" t="str">
        <f aca="false">IF($A5="","",SUMIFS(transactions!$I$2:$I$501,transactions!$C$2:$C$501,S$1,transactions!$B$2:$B$501,"&lt;="&amp;$A5))</f>
        <v/>
      </c>
      <c r="T5" s="17" t="str">
        <f aca="false">IF($A5="","",SUMIFS(transactions!$I$2:$I$501,transactions!$C$2:$C$501,T$1,transactions!$B$2:$B$501,"&lt;="&amp;$A5))</f>
        <v/>
      </c>
      <c r="U5" s="17" t="str">
        <f aca="false">IF($A5="","",SUMIFS(transactions!$I$2:$I$501,transactions!$C$2:$C$501,U$1,transactions!$B$2:$B$501,"&lt;="&amp;$A5))</f>
        <v/>
      </c>
      <c r="V5" s="17" t="str">
        <f aca="false">IF($A5="","",SUMIFS(transactions!$I$2:$I$501,transactions!$C$2:$C$501,V$1,transactions!$B$2:$B$501,"&lt;="&amp;$A5))</f>
        <v/>
      </c>
      <c r="W5" s="17" t="str">
        <f aca="false">IF($A5="","",SUMIFS(transactions!$I$2:$I$501,transactions!$C$2:$C$501,W$1,transactions!$B$2:$B$501,"&lt;="&amp;$A5))</f>
        <v/>
      </c>
      <c r="X5" s="17" t="str">
        <f aca="false">IF($A5="","",SUMIFS(transactions!$I$2:$I$501,transactions!$C$2:$C$501,X$1,transactions!$B$2:$B$501,"&lt;="&amp;$A5))</f>
        <v/>
      </c>
      <c r="Y5" s="17" t="str">
        <f aca="false">IF($A5="","",SUMIFS(transactions!$I$2:$I$501,transactions!$C$2:$C$501,Y$1,transactions!$B$2:$B$501,"&lt;="&amp;$A5))</f>
        <v/>
      </c>
      <c r="Z5" s="17" t="str">
        <f aca="false">IF($A5="","",SUMIFS(transactions!$I$2:$I$501,transactions!$C$2:$C$501,Z$1,transactions!$B$2:$B$501,"&lt;="&amp;$A5))</f>
        <v/>
      </c>
      <c r="AA5" s="17" t="str">
        <f aca="false">IF($A5="","",SUMIFS(transactions!$I$2:$I$501,transactions!$C$2:$C$501,AA$1,transactions!$B$2:$B$501,"&lt;="&amp;$A5))</f>
        <v/>
      </c>
      <c r="AB5" s="17" t="str">
        <f aca="false">IF($A5="","",SUMIFS(transactions!$I$2:$I$501,transactions!$C$2:$C$501,AB$1,transactions!$B$2:$B$501,"&lt;="&amp;$A5))</f>
        <v/>
      </c>
      <c r="AC5" s="17" t="str">
        <f aca="false">IF($A5="","",SUMIFS(transactions!$I$2:$I$501,transactions!$C$2:$C$501,AC$1,transactions!$B$2:$B$501,"&lt;="&amp;$A5))</f>
        <v/>
      </c>
      <c r="AD5" s="17" t="str">
        <f aca="false">IF($A5="","",SUMIFS(transactions!$I$2:$I$501,transactions!$C$2:$C$501,AD$1,transactions!$B$2:$B$501,"&lt;="&amp;$A5))</f>
        <v/>
      </c>
      <c r="AE5" s="17" t="str">
        <f aca="false">IF($A5="","",SUMIFS(transactions!$I$2:$I$501,transactions!$C$2:$C$501,AE$1,transactions!$B$2:$B$501,"&lt;="&amp;$A5))</f>
        <v/>
      </c>
      <c r="AF5" s="17" t="str">
        <f aca="false">IF($A5="","",SUMIFS(transactions!$I$2:$I$501,transactions!$C$2:$C$501,AF$1,transactions!$B$2:$B$501,"&lt;="&amp;$A5))</f>
        <v/>
      </c>
      <c r="AG5" s="17" t="str">
        <f aca="false">IF($A5="","",SUMIFS(transactions!$I$2:$I$501,transactions!$C$2:$C$501,AG$1,transactions!$B$2:$B$501,"&lt;="&amp;$A5))</f>
        <v/>
      </c>
      <c r="AH5" s="17" t="str">
        <f aca="false">IF($A5="","",SUMIFS(transactions!$I$2:$I$501,transactions!$C$2:$C$501,AH$1,transactions!$B$2:$B$501,"&lt;="&amp;$A5))</f>
        <v/>
      </c>
      <c r="AI5" s="17" t="str">
        <f aca="false">IF($A5="","",SUMIFS(transactions!$I$2:$I$501,transactions!$C$2:$C$501,AI$1,transactions!$B$2:$B$501,"&lt;="&amp;$A5))</f>
        <v/>
      </c>
      <c r="AJ5" s="17" t="str">
        <f aca="false">IF($A5="","",SUMIFS(transactions!$I$2:$I$501,transactions!$C$2:$C$501,AJ$1,transactions!$B$2:$B$501,"&lt;="&amp;$A5))</f>
        <v/>
      </c>
    </row>
    <row r="6" customFormat="false" ht="15" hidden="false" customHeight="false" outlineLevel="0" collapsed="false">
      <c r="A6" s="20" t="str">
        <f aca="false">IF(prices!A6="","",prices!A6)</f>
        <v/>
      </c>
      <c r="B6" s="17" t="str">
        <f aca="false">IF($A6="","",SUMIFS(transactions!$I$2:$I$501,transactions!$C$2:$C$501,B$1,transactions!$B$2:$B$501,"&lt;="&amp;$A6))</f>
        <v/>
      </c>
      <c r="C6" s="17" t="str">
        <f aca="false">IF($A6="","",SUMIFS(transactions!$I$2:$I$501,transactions!$C$2:$C$501,C$1,transactions!$B$2:$B$501,"&lt;="&amp;$A6))</f>
        <v/>
      </c>
      <c r="D6" s="17" t="str">
        <f aca="false">IF($A6="","",SUMIFS(transactions!$I$2:$I$501,transactions!$C$2:$C$501,D$1,transactions!$B$2:$B$501,"&lt;="&amp;$A6))</f>
        <v/>
      </c>
      <c r="E6" s="17" t="str">
        <f aca="false">IF($A6="","",SUMIFS(transactions!$I$2:$I$501,transactions!$C$2:$C$501,E$1,transactions!$B$2:$B$501,"&lt;="&amp;$A6))</f>
        <v/>
      </c>
      <c r="F6" s="17" t="str">
        <f aca="false">IF($A6="","",SUMIFS(transactions!$I$2:$I$501,transactions!$C$2:$C$501,F$1,transactions!$B$2:$B$501,"&lt;="&amp;$A6))</f>
        <v/>
      </c>
      <c r="G6" s="17" t="str">
        <f aca="false">IF($A6="","",SUMIFS(transactions!$I$2:$I$501,transactions!$C$2:$C$501,G$1,transactions!$B$2:$B$501,"&lt;="&amp;$A6))</f>
        <v/>
      </c>
      <c r="H6" s="17" t="str">
        <f aca="false">IF($A6="","",SUMIFS(transactions!$I$2:$I$501,transactions!$C$2:$C$501,H$1,transactions!$B$2:$B$501,"&lt;="&amp;$A6))</f>
        <v/>
      </c>
      <c r="I6" s="17" t="str">
        <f aca="false">IF($A6="","",SUMIFS(transactions!$I$2:$I$501,transactions!$C$2:$C$501,I$1,transactions!$B$2:$B$501,"&lt;="&amp;$A6))</f>
        <v/>
      </c>
      <c r="J6" s="17" t="str">
        <f aca="false">IF($A6="","",SUMIFS(transactions!$I$2:$I$501,transactions!$C$2:$C$501,J$1,transactions!$B$2:$B$501,"&lt;="&amp;$A6))</f>
        <v/>
      </c>
      <c r="K6" s="17" t="str">
        <f aca="false">IF($A6="","",SUMIFS(transactions!$I$2:$I$501,transactions!$C$2:$C$501,K$1,transactions!$B$2:$B$501,"&lt;="&amp;$A6))</f>
        <v/>
      </c>
      <c r="L6" s="17" t="str">
        <f aca="false">IF($A6="","",SUMIFS(transactions!$I$2:$I$501,transactions!$C$2:$C$501,L$1,transactions!$B$2:$B$501,"&lt;="&amp;$A6))</f>
        <v/>
      </c>
      <c r="M6" s="17" t="str">
        <f aca="false">IF($A6="","",SUMIFS(transactions!$I$2:$I$501,transactions!$C$2:$C$501,M$1,transactions!$B$2:$B$501,"&lt;="&amp;$A6))</f>
        <v/>
      </c>
      <c r="N6" s="17" t="str">
        <f aca="false">IF($A6="","",SUMIFS(transactions!$I$2:$I$501,transactions!$C$2:$C$501,N$1,transactions!$B$2:$B$501,"&lt;="&amp;$A6))</f>
        <v/>
      </c>
      <c r="O6" s="17" t="str">
        <f aca="false">IF($A6="","",SUMIFS(transactions!$I$2:$I$501,transactions!$C$2:$C$501,O$1,transactions!$B$2:$B$501,"&lt;="&amp;$A6))</f>
        <v/>
      </c>
      <c r="P6" s="17" t="str">
        <f aca="false">IF($A6="","",SUMIFS(transactions!$I$2:$I$501,transactions!$C$2:$C$501,P$1,transactions!$B$2:$B$501,"&lt;="&amp;$A6))</f>
        <v/>
      </c>
      <c r="Q6" s="17" t="str">
        <f aca="false">IF($A6="","",SUMIFS(transactions!$I$2:$I$501,transactions!$C$2:$C$501,Q$1,transactions!$B$2:$B$501,"&lt;="&amp;$A6))</f>
        <v/>
      </c>
      <c r="R6" s="17" t="str">
        <f aca="false">IF($A6="","",SUMIFS(transactions!$I$2:$I$501,transactions!$C$2:$C$501,R$1,transactions!$B$2:$B$501,"&lt;="&amp;$A6))</f>
        <v/>
      </c>
      <c r="S6" s="17" t="str">
        <f aca="false">IF($A6="","",SUMIFS(transactions!$I$2:$I$501,transactions!$C$2:$C$501,S$1,transactions!$B$2:$B$501,"&lt;="&amp;$A6))</f>
        <v/>
      </c>
      <c r="T6" s="17" t="str">
        <f aca="false">IF($A6="","",SUMIFS(transactions!$I$2:$I$501,transactions!$C$2:$C$501,T$1,transactions!$B$2:$B$501,"&lt;="&amp;$A6))</f>
        <v/>
      </c>
      <c r="U6" s="17" t="str">
        <f aca="false">IF($A6="","",SUMIFS(transactions!$I$2:$I$501,transactions!$C$2:$C$501,U$1,transactions!$B$2:$B$501,"&lt;="&amp;$A6))</f>
        <v/>
      </c>
      <c r="V6" s="17" t="str">
        <f aca="false">IF($A6="","",SUMIFS(transactions!$I$2:$I$501,transactions!$C$2:$C$501,V$1,transactions!$B$2:$B$501,"&lt;="&amp;$A6))</f>
        <v/>
      </c>
      <c r="W6" s="17" t="str">
        <f aca="false">IF($A6="","",SUMIFS(transactions!$I$2:$I$501,transactions!$C$2:$C$501,W$1,transactions!$B$2:$B$501,"&lt;="&amp;$A6))</f>
        <v/>
      </c>
      <c r="X6" s="17" t="str">
        <f aca="false">IF($A6="","",SUMIFS(transactions!$I$2:$I$501,transactions!$C$2:$C$501,X$1,transactions!$B$2:$B$501,"&lt;="&amp;$A6))</f>
        <v/>
      </c>
      <c r="Y6" s="17" t="str">
        <f aca="false">IF($A6="","",SUMIFS(transactions!$I$2:$I$501,transactions!$C$2:$C$501,Y$1,transactions!$B$2:$B$501,"&lt;="&amp;$A6))</f>
        <v/>
      </c>
      <c r="Z6" s="17" t="str">
        <f aca="false">IF($A6="","",SUMIFS(transactions!$I$2:$I$501,transactions!$C$2:$C$501,Z$1,transactions!$B$2:$B$501,"&lt;="&amp;$A6))</f>
        <v/>
      </c>
      <c r="AA6" s="17" t="str">
        <f aca="false">IF($A6="","",SUMIFS(transactions!$I$2:$I$501,transactions!$C$2:$C$501,AA$1,transactions!$B$2:$B$501,"&lt;="&amp;$A6))</f>
        <v/>
      </c>
      <c r="AB6" s="17" t="str">
        <f aca="false">IF($A6="","",SUMIFS(transactions!$I$2:$I$501,transactions!$C$2:$C$501,AB$1,transactions!$B$2:$B$501,"&lt;="&amp;$A6))</f>
        <v/>
      </c>
      <c r="AC6" s="17" t="str">
        <f aca="false">IF($A6="","",SUMIFS(transactions!$I$2:$I$501,transactions!$C$2:$C$501,AC$1,transactions!$B$2:$B$501,"&lt;="&amp;$A6))</f>
        <v/>
      </c>
      <c r="AD6" s="17" t="str">
        <f aca="false">IF($A6="","",SUMIFS(transactions!$I$2:$I$501,transactions!$C$2:$C$501,AD$1,transactions!$B$2:$B$501,"&lt;="&amp;$A6))</f>
        <v/>
      </c>
      <c r="AE6" s="17" t="str">
        <f aca="false">IF($A6="","",SUMIFS(transactions!$I$2:$I$501,transactions!$C$2:$C$501,AE$1,transactions!$B$2:$B$501,"&lt;="&amp;$A6))</f>
        <v/>
      </c>
      <c r="AF6" s="17" t="str">
        <f aca="false">IF($A6="","",SUMIFS(transactions!$I$2:$I$501,transactions!$C$2:$C$501,AF$1,transactions!$B$2:$B$501,"&lt;="&amp;$A6))</f>
        <v/>
      </c>
      <c r="AG6" s="17" t="str">
        <f aca="false">IF($A6="","",SUMIFS(transactions!$I$2:$I$501,transactions!$C$2:$C$501,AG$1,transactions!$B$2:$B$501,"&lt;="&amp;$A6))</f>
        <v/>
      </c>
      <c r="AH6" s="17" t="str">
        <f aca="false">IF($A6="","",SUMIFS(transactions!$I$2:$I$501,transactions!$C$2:$C$501,AH$1,transactions!$B$2:$B$501,"&lt;="&amp;$A6))</f>
        <v/>
      </c>
      <c r="AI6" s="17" t="str">
        <f aca="false">IF($A6="","",SUMIFS(transactions!$I$2:$I$501,transactions!$C$2:$C$501,AI$1,transactions!$B$2:$B$501,"&lt;="&amp;$A6))</f>
        <v/>
      </c>
      <c r="AJ6" s="17" t="str">
        <f aca="false">IF($A6="","",SUMIFS(transactions!$I$2:$I$501,transactions!$C$2:$C$501,AJ$1,transactions!$B$2:$B$501,"&lt;="&amp;$A6))</f>
        <v/>
      </c>
    </row>
    <row r="7" customFormat="false" ht="15" hidden="false" customHeight="false" outlineLevel="0" collapsed="false">
      <c r="A7" s="20" t="str">
        <f aca="false">IF(prices!A7="","",prices!A7)</f>
        <v/>
      </c>
      <c r="B7" s="17" t="str">
        <f aca="false">IF($A7="","",SUMIFS(transactions!$I$2:$I$501,transactions!$C$2:$C$501,B$1,transactions!$B$2:$B$501,"&lt;="&amp;$A7))</f>
        <v/>
      </c>
      <c r="C7" s="17" t="str">
        <f aca="false">IF($A7="","",SUMIFS(transactions!$I$2:$I$501,transactions!$C$2:$C$501,C$1,transactions!$B$2:$B$501,"&lt;="&amp;$A7))</f>
        <v/>
      </c>
      <c r="D7" s="17" t="str">
        <f aca="false">IF($A7="","",SUMIFS(transactions!$I$2:$I$501,transactions!$C$2:$C$501,D$1,transactions!$B$2:$B$501,"&lt;="&amp;$A7))</f>
        <v/>
      </c>
      <c r="E7" s="17" t="str">
        <f aca="false">IF($A7="","",SUMIFS(transactions!$I$2:$I$501,transactions!$C$2:$C$501,E$1,transactions!$B$2:$B$501,"&lt;="&amp;$A7))</f>
        <v/>
      </c>
      <c r="F7" s="17" t="str">
        <f aca="false">IF($A7="","",SUMIFS(transactions!$I$2:$I$501,transactions!$C$2:$C$501,F$1,transactions!$B$2:$B$501,"&lt;="&amp;$A7))</f>
        <v/>
      </c>
      <c r="G7" s="17" t="str">
        <f aca="false">IF($A7="","",SUMIFS(transactions!$I$2:$I$501,transactions!$C$2:$C$501,G$1,transactions!$B$2:$B$501,"&lt;="&amp;$A7))</f>
        <v/>
      </c>
      <c r="H7" s="17" t="str">
        <f aca="false">IF($A7="","",SUMIFS(transactions!$I$2:$I$501,transactions!$C$2:$C$501,H$1,transactions!$B$2:$B$501,"&lt;="&amp;$A7))</f>
        <v/>
      </c>
      <c r="I7" s="17" t="str">
        <f aca="false">IF($A7="","",SUMIFS(transactions!$I$2:$I$501,transactions!$C$2:$C$501,I$1,transactions!$B$2:$B$501,"&lt;="&amp;$A7))</f>
        <v/>
      </c>
      <c r="J7" s="17" t="str">
        <f aca="false">IF($A7="","",SUMIFS(transactions!$I$2:$I$501,transactions!$C$2:$C$501,J$1,transactions!$B$2:$B$501,"&lt;="&amp;$A7))</f>
        <v/>
      </c>
      <c r="K7" s="17" t="str">
        <f aca="false">IF($A7="","",SUMIFS(transactions!$I$2:$I$501,transactions!$C$2:$C$501,K$1,transactions!$B$2:$B$501,"&lt;="&amp;$A7))</f>
        <v/>
      </c>
      <c r="L7" s="17" t="str">
        <f aca="false">IF($A7="","",SUMIFS(transactions!$I$2:$I$501,transactions!$C$2:$C$501,L$1,transactions!$B$2:$B$501,"&lt;="&amp;$A7))</f>
        <v/>
      </c>
      <c r="M7" s="17" t="str">
        <f aca="false">IF($A7="","",SUMIFS(transactions!$I$2:$I$501,transactions!$C$2:$C$501,M$1,transactions!$B$2:$B$501,"&lt;="&amp;$A7))</f>
        <v/>
      </c>
      <c r="N7" s="17" t="str">
        <f aca="false">IF($A7="","",SUMIFS(transactions!$I$2:$I$501,transactions!$C$2:$C$501,N$1,transactions!$B$2:$B$501,"&lt;="&amp;$A7))</f>
        <v/>
      </c>
      <c r="O7" s="17" t="str">
        <f aca="false">IF($A7="","",SUMIFS(transactions!$I$2:$I$501,transactions!$C$2:$C$501,O$1,transactions!$B$2:$B$501,"&lt;="&amp;$A7))</f>
        <v/>
      </c>
      <c r="P7" s="17" t="str">
        <f aca="false">IF($A7="","",SUMIFS(transactions!$I$2:$I$501,transactions!$C$2:$C$501,P$1,transactions!$B$2:$B$501,"&lt;="&amp;$A7))</f>
        <v/>
      </c>
      <c r="Q7" s="17" t="str">
        <f aca="false">IF($A7="","",SUMIFS(transactions!$I$2:$I$501,transactions!$C$2:$C$501,Q$1,transactions!$B$2:$B$501,"&lt;="&amp;$A7))</f>
        <v/>
      </c>
      <c r="R7" s="17" t="str">
        <f aca="false">IF($A7="","",SUMIFS(transactions!$I$2:$I$501,transactions!$C$2:$C$501,R$1,transactions!$B$2:$B$501,"&lt;="&amp;$A7))</f>
        <v/>
      </c>
      <c r="S7" s="17" t="str">
        <f aca="false">IF($A7="","",SUMIFS(transactions!$I$2:$I$501,transactions!$C$2:$C$501,S$1,transactions!$B$2:$B$501,"&lt;="&amp;$A7))</f>
        <v/>
      </c>
      <c r="T7" s="17" t="str">
        <f aca="false">IF($A7="","",SUMIFS(transactions!$I$2:$I$501,transactions!$C$2:$C$501,T$1,transactions!$B$2:$B$501,"&lt;="&amp;$A7))</f>
        <v/>
      </c>
      <c r="U7" s="17" t="str">
        <f aca="false">IF($A7="","",SUMIFS(transactions!$I$2:$I$501,transactions!$C$2:$C$501,U$1,transactions!$B$2:$B$501,"&lt;="&amp;$A7))</f>
        <v/>
      </c>
      <c r="V7" s="17" t="str">
        <f aca="false">IF($A7="","",SUMIFS(transactions!$I$2:$I$501,transactions!$C$2:$C$501,V$1,transactions!$B$2:$B$501,"&lt;="&amp;$A7))</f>
        <v/>
      </c>
      <c r="W7" s="17" t="str">
        <f aca="false">IF($A7="","",SUMIFS(transactions!$I$2:$I$501,transactions!$C$2:$C$501,W$1,transactions!$B$2:$B$501,"&lt;="&amp;$A7))</f>
        <v/>
      </c>
      <c r="X7" s="17" t="str">
        <f aca="false">IF($A7="","",SUMIFS(transactions!$I$2:$I$501,transactions!$C$2:$C$501,X$1,transactions!$B$2:$B$501,"&lt;="&amp;$A7))</f>
        <v/>
      </c>
      <c r="Y7" s="17" t="str">
        <f aca="false">IF($A7="","",SUMIFS(transactions!$I$2:$I$501,transactions!$C$2:$C$501,Y$1,transactions!$B$2:$B$501,"&lt;="&amp;$A7))</f>
        <v/>
      </c>
      <c r="Z7" s="17" t="str">
        <f aca="false">IF($A7="","",SUMIFS(transactions!$I$2:$I$501,transactions!$C$2:$C$501,Z$1,transactions!$B$2:$B$501,"&lt;="&amp;$A7))</f>
        <v/>
      </c>
      <c r="AA7" s="17" t="str">
        <f aca="false">IF($A7="","",SUMIFS(transactions!$I$2:$I$501,transactions!$C$2:$C$501,AA$1,transactions!$B$2:$B$501,"&lt;="&amp;$A7))</f>
        <v/>
      </c>
      <c r="AB7" s="17" t="str">
        <f aca="false">IF($A7="","",SUMIFS(transactions!$I$2:$I$501,transactions!$C$2:$C$501,AB$1,transactions!$B$2:$B$501,"&lt;="&amp;$A7))</f>
        <v/>
      </c>
      <c r="AC7" s="17" t="str">
        <f aca="false">IF($A7="","",SUMIFS(transactions!$I$2:$I$501,transactions!$C$2:$C$501,AC$1,transactions!$B$2:$B$501,"&lt;="&amp;$A7))</f>
        <v/>
      </c>
      <c r="AD7" s="17" t="str">
        <f aca="false">IF($A7="","",SUMIFS(transactions!$I$2:$I$501,transactions!$C$2:$C$501,AD$1,transactions!$B$2:$B$501,"&lt;="&amp;$A7))</f>
        <v/>
      </c>
      <c r="AE7" s="17" t="str">
        <f aca="false">IF($A7="","",SUMIFS(transactions!$I$2:$I$501,transactions!$C$2:$C$501,AE$1,transactions!$B$2:$B$501,"&lt;="&amp;$A7))</f>
        <v/>
      </c>
      <c r="AF7" s="17" t="str">
        <f aca="false">IF($A7="","",SUMIFS(transactions!$I$2:$I$501,transactions!$C$2:$C$501,AF$1,transactions!$B$2:$B$501,"&lt;="&amp;$A7))</f>
        <v/>
      </c>
      <c r="AG7" s="17" t="str">
        <f aca="false">IF($A7="","",SUMIFS(transactions!$I$2:$I$501,transactions!$C$2:$C$501,AG$1,transactions!$B$2:$B$501,"&lt;="&amp;$A7))</f>
        <v/>
      </c>
      <c r="AH7" s="17" t="str">
        <f aca="false">IF($A7="","",SUMIFS(transactions!$I$2:$I$501,transactions!$C$2:$C$501,AH$1,transactions!$B$2:$B$501,"&lt;="&amp;$A7))</f>
        <v/>
      </c>
      <c r="AI7" s="17" t="str">
        <f aca="false">IF($A7="","",SUMIFS(transactions!$I$2:$I$501,transactions!$C$2:$C$501,AI$1,transactions!$B$2:$B$501,"&lt;="&amp;$A7))</f>
        <v/>
      </c>
      <c r="AJ7" s="17" t="str">
        <f aca="false">IF($A7="","",SUMIFS(transactions!$I$2:$I$501,transactions!$C$2:$C$501,AJ$1,transactions!$B$2:$B$501,"&lt;="&amp;$A7))</f>
        <v/>
      </c>
    </row>
    <row r="8" customFormat="false" ht="15" hidden="false" customHeight="false" outlineLevel="0" collapsed="false">
      <c r="A8" s="20" t="str">
        <f aca="false">IF(prices!A8="","",prices!A8)</f>
        <v/>
      </c>
      <c r="B8" s="17" t="str">
        <f aca="false">IF($A8="","",SUMIFS(transactions!$I$2:$I$501,transactions!$C$2:$C$501,B$1,transactions!$B$2:$B$501,"&lt;="&amp;$A8))</f>
        <v/>
      </c>
      <c r="C8" s="17" t="str">
        <f aca="false">IF($A8="","",SUMIFS(transactions!$I$2:$I$501,transactions!$C$2:$C$501,C$1,transactions!$B$2:$B$501,"&lt;="&amp;$A8))</f>
        <v/>
      </c>
      <c r="D8" s="17" t="str">
        <f aca="false">IF($A8="","",SUMIFS(transactions!$I$2:$I$501,transactions!$C$2:$C$501,D$1,transactions!$B$2:$B$501,"&lt;="&amp;$A8))</f>
        <v/>
      </c>
      <c r="E8" s="17" t="str">
        <f aca="false">IF($A8="","",SUMIFS(transactions!$I$2:$I$501,transactions!$C$2:$C$501,E$1,transactions!$B$2:$B$501,"&lt;="&amp;$A8))</f>
        <v/>
      </c>
      <c r="F8" s="17" t="str">
        <f aca="false">IF($A8="","",SUMIFS(transactions!$I$2:$I$501,transactions!$C$2:$C$501,F$1,transactions!$B$2:$B$501,"&lt;="&amp;$A8))</f>
        <v/>
      </c>
      <c r="G8" s="17" t="str">
        <f aca="false">IF($A8="","",SUMIFS(transactions!$I$2:$I$501,transactions!$C$2:$C$501,G$1,transactions!$B$2:$B$501,"&lt;="&amp;$A8))</f>
        <v/>
      </c>
      <c r="H8" s="17" t="str">
        <f aca="false">IF($A8="","",SUMIFS(transactions!$I$2:$I$501,transactions!$C$2:$C$501,H$1,transactions!$B$2:$B$501,"&lt;="&amp;$A8))</f>
        <v/>
      </c>
      <c r="I8" s="17" t="str">
        <f aca="false">IF($A8="","",SUMIFS(transactions!$I$2:$I$501,transactions!$C$2:$C$501,I$1,transactions!$B$2:$B$501,"&lt;="&amp;$A8))</f>
        <v/>
      </c>
      <c r="J8" s="17" t="str">
        <f aca="false">IF($A8="","",SUMIFS(transactions!$I$2:$I$501,transactions!$C$2:$C$501,J$1,transactions!$B$2:$B$501,"&lt;="&amp;$A8))</f>
        <v/>
      </c>
      <c r="K8" s="17" t="str">
        <f aca="false">IF($A8="","",SUMIFS(transactions!$I$2:$I$501,transactions!$C$2:$C$501,K$1,transactions!$B$2:$B$501,"&lt;="&amp;$A8))</f>
        <v/>
      </c>
      <c r="L8" s="17" t="str">
        <f aca="false">IF($A8="","",SUMIFS(transactions!$I$2:$I$501,transactions!$C$2:$C$501,L$1,transactions!$B$2:$B$501,"&lt;="&amp;$A8))</f>
        <v/>
      </c>
      <c r="M8" s="17" t="str">
        <f aca="false">IF($A8="","",SUMIFS(transactions!$I$2:$I$501,transactions!$C$2:$C$501,M$1,transactions!$B$2:$B$501,"&lt;="&amp;$A8))</f>
        <v/>
      </c>
      <c r="N8" s="17" t="str">
        <f aca="false">IF($A8="","",SUMIFS(transactions!$I$2:$I$501,transactions!$C$2:$C$501,N$1,transactions!$B$2:$B$501,"&lt;="&amp;$A8))</f>
        <v/>
      </c>
      <c r="O8" s="17" t="str">
        <f aca="false">IF($A8="","",SUMIFS(transactions!$I$2:$I$501,transactions!$C$2:$C$501,O$1,transactions!$B$2:$B$501,"&lt;="&amp;$A8))</f>
        <v/>
      </c>
      <c r="P8" s="17" t="str">
        <f aca="false">IF($A8="","",SUMIFS(transactions!$I$2:$I$501,transactions!$C$2:$C$501,P$1,transactions!$B$2:$B$501,"&lt;="&amp;$A8))</f>
        <v/>
      </c>
      <c r="Q8" s="17" t="str">
        <f aca="false">IF($A8="","",SUMIFS(transactions!$I$2:$I$501,transactions!$C$2:$C$501,Q$1,transactions!$B$2:$B$501,"&lt;="&amp;$A8))</f>
        <v/>
      </c>
      <c r="R8" s="17" t="str">
        <f aca="false">IF($A8="","",SUMIFS(transactions!$I$2:$I$501,transactions!$C$2:$C$501,R$1,transactions!$B$2:$B$501,"&lt;="&amp;$A8))</f>
        <v/>
      </c>
      <c r="S8" s="17" t="str">
        <f aca="false">IF($A8="","",SUMIFS(transactions!$I$2:$I$501,transactions!$C$2:$C$501,S$1,transactions!$B$2:$B$501,"&lt;="&amp;$A8))</f>
        <v/>
      </c>
      <c r="T8" s="17" t="str">
        <f aca="false">IF($A8="","",SUMIFS(transactions!$I$2:$I$501,transactions!$C$2:$C$501,T$1,transactions!$B$2:$B$501,"&lt;="&amp;$A8))</f>
        <v/>
      </c>
      <c r="U8" s="17" t="str">
        <f aca="false">IF($A8="","",SUMIFS(transactions!$I$2:$I$501,transactions!$C$2:$C$501,U$1,transactions!$B$2:$B$501,"&lt;="&amp;$A8))</f>
        <v/>
      </c>
      <c r="V8" s="17" t="str">
        <f aca="false">IF($A8="","",SUMIFS(transactions!$I$2:$I$501,transactions!$C$2:$C$501,V$1,transactions!$B$2:$B$501,"&lt;="&amp;$A8))</f>
        <v/>
      </c>
      <c r="W8" s="17" t="str">
        <f aca="false">IF($A8="","",SUMIFS(transactions!$I$2:$I$501,transactions!$C$2:$C$501,W$1,transactions!$B$2:$B$501,"&lt;="&amp;$A8))</f>
        <v/>
      </c>
      <c r="X8" s="17" t="str">
        <f aca="false">IF($A8="","",SUMIFS(transactions!$I$2:$I$501,transactions!$C$2:$C$501,X$1,transactions!$B$2:$B$501,"&lt;="&amp;$A8))</f>
        <v/>
      </c>
      <c r="Y8" s="17" t="str">
        <f aca="false">IF($A8="","",SUMIFS(transactions!$I$2:$I$501,transactions!$C$2:$C$501,Y$1,transactions!$B$2:$B$501,"&lt;="&amp;$A8))</f>
        <v/>
      </c>
      <c r="Z8" s="17" t="str">
        <f aca="false">IF($A8="","",SUMIFS(transactions!$I$2:$I$501,transactions!$C$2:$C$501,Z$1,transactions!$B$2:$B$501,"&lt;="&amp;$A8))</f>
        <v/>
      </c>
      <c r="AA8" s="17" t="str">
        <f aca="false">IF($A8="","",SUMIFS(transactions!$I$2:$I$501,transactions!$C$2:$C$501,AA$1,transactions!$B$2:$B$501,"&lt;="&amp;$A8))</f>
        <v/>
      </c>
      <c r="AB8" s="17" t="str">
        <f aca="false">IF($A8="","",SUMIFS(transactions!$I$2:$I$501,transactions!$C$2:$C$501,AB$1,transactions!$B$2:$B$501,"&lt;="&amp;$A8))</f>
        <v/>
      </c>
      <c r="AC8" s="17" t="str">
        <f aca="false">IF($A8="","",SUMIFS(transactions!$I$2:$I$501,transactions!$C$2:$C$501,AC$1,transactions!$B$2:$B$501,"&lt;="&amp;$A8))</f>
        <v/>
      </c>
      <c r="AD8" s="17" t="str">
        <f aca="false">IF($A8="","",SUMIFS(transactions!$I$2:$I$501,transactions!$C$2:$C$501,AD$1,transactions!$B$2:$B$501,"&lt;="&amp;$A8))</f>
        <v/>
      </c>
      <c r="AE8" s="17" t="str">
        <f aca="false">IF($A8="","",SUMIFS(transactions!$I$2:$I$501,transactions!$C$2:$C$501,AE$1,transactions!$B$2:$B$501,"&lt;="&amp;$A8))</f>
        <v/>
      </c>
      <c r="AF8" s="17" t="str">
        <f aca="false">IF($A8="","",SUMIFS(transactions!$I$2:$I$501,transactions!$C$2:$C$501,AF$1,transactions!$B$2:$B$501,"&lt;="&amp;$A8))</f>
        <v/>
      </c>
      <c r="AG8" s="17" t="str">
        <f aca="false">IF($A8="","",SUMIFS(transactions!$I$2:$I$501,transactions!$C$2:$C$501,AG$1,transactions!$B$2:$B$501,"&lt;="&amp;$A8))</f>
        <v/>
      </c>
      <c r="AH8" s="17" t="str">
        <f aca="false">IF($A8="","",SUMIFS(transactions!$I$2:$I$501,transactions!$C$2:$C$501,AH$1,transactions!$B$2:$B$501,"&lt;="&amp;$A8))</f>
        <v/>
      </c>
      <c r="AI8" s="17" t="str">
        <f aca="false">IF($A8="","",SUMIFS(transactions!$I$2:$I$501,transactions!$C$2:$C$501,AI$1,transactions!$B$2:$B$501,"&lt;="&amp;$A8))</f>
        <v/>
      </c>
      <c r="AJ8" s="17" t="str">
        <f aca="false">IF($A8="","",SUMIFS(transactions!$I$2:$I$501,transactions!$C$2:$C$501,AJ$1,transactions!$B$2:$B$501,"&lt;="&amp;$A8))</f>
        <v/>
      </c>
    </row>
    <row r="9" customFormat="false" ht="15" hidden="false" customHeight="false" outlineLevel="0" collapsed="false">
      <c r="A9" s="20" t="str">
        <f aca="false">IF(prices!A9="","",prices!A9)</f>
        <v/>
      </c>
      <c r="B9" s="17" t="str">
        <f aca="false">IF($A9="","",SUMIFS(transactions!$I$2:$I$501,transactions!$C$2:$C$501,B$1,transactions!$B$2:$B$501,"&lt;="&amp;$A9))</f>
        <v/>
      </c>
      <c r="C9" s="17" t="str">
        <f aca="false">IF($A9="","",SUMIFS(transactions!$I$2:$I$501,transactions!$C$2:$C$501,C$1,transactions!$B$2:$B$501,"&lt;="&amp;$A9))</f>
        <v/>
      </c>
      <c r="D9" s="17" t="str">
        <f aca="false">IF($A9="","",SUMIFS(transactions!$I$2:$I$501,transactions!$C$2:$C$501,D$1,transactions!$B$2:$B$501,"&lt;="&amp;$A9))</f>
        <v/>
      </c>
      <c r="E9" s="17" t="str">
        <f aca="false">IF($A9="","",SUMIFS(transactions!$I$2:$I$501,transactions!$C$2:$C$501,E$1,transactions!$B$2:$B$501,"&lt;="&amp;$A9))</f>
        <v/>
      </c>
      <c r="F9" s="17" t="str">
        <f aca="false">IF($A9="","",SUMIFS(transactions!$I$2:$I$501,transactions!$C$2:$C$501,F$1,transactions!$B$2:$B$501,"&lt;="&amp;$A9))</f>
        <v/>
      </c>
      <c r="G9" s="17" t="str">
        <f aca="false">IF($A9="","",SUMIFS(transactions!$I$2:$I$501,transactions!$C$2:$C$501,G$1,transactions!$B$2:$B$501,"&lt;="&amp;$A9))</f>
        <v/>
      </c>
      <c r="H9" s="17" t="str">
        <f aca="false">IF($A9="","",SUMIFS(transactions!$I$2:$I$501,transactions!$C$2:$C$501,H$1,transactions!$B$2:$B$501,"&lt;="&amp;$A9))</f>
        <v/>
      </c>
      <c r="I9" s="17" t="str">
        <f aca="false">IF($A9="","",SUMIFS(transactions!$I$2:$I$501,transactions!$C$2:$C$501,I$1,transactions!$B$2:$B$501,"&lt;="&amp;$A9))</f>
        <v/>
      </c>
      <c r="J9" s="17" t="str">
        <f aca="false">IF($A9="","",SUMIFS(transactions!$I$2:$I$501,transactions!$C$2:$C$501,J$1,transactions!$B$2:$B$501,"&lt;="&amp;$A9))</f>
        <v/>
      </c>
      <c r="K9" s="17" t="str">
        <f aca="false">IF($A9="","",SUMIFS(transactions!$I$2:$I$501,transactions!$C$2:$C$501,K$1,transactions!$B$2:$B$501,"&lt;="&amp;$A9))</f>
        <v/>
      </c>
      <c r="L9" s="17" t="str">
        <f aca="false">IF($A9="","",SUMIFS(transactions!$I$2:$I$501,transactions!$C$2:$C$501,L$1,transactions!$B$2:$B$501,"&lt;="&amp;$A9))</f>
        <v/>
      </c>
      <c r="M9" s="17" t="str">
        <f aca="false">IF($A9="","",SUMIFS(transactions!$I$2:$I$501,transactions!$C$2:$C$501,M$1,transactions!$B$2:$B$501,"&lt;="&amp;$A9))</f>
        <v/>
      </c>
      <c r="N9" s="17" t="str">
        <f aca="false">IF($A9="","",SUMIFS(transactions!$I$2:$I$501,transactions!$C$2:$C$501,N$1,transactions!$B$2:$B$501,"&lt;="&amp;$A9))</f>
        <v/>
      </c>
      <c r="O9" s="17" t="str">
        <f aca="false">IF($A9="","",SUMIFS(transactions!$I$2:$I$501,transactions!$C$2:$C$501,O$1,transactions!$B$2:$B$501,"&lt;="&amp;$A9))</f>
        <v/>
      </c>
      <c r="P9" s="17" t="str">
        <f aca="false">IF($A9="","",SUMIFS(transactions!$I$2:$I$501,transactions!$C$2:$C$501,P$1,transactions!$B$2:$B$501,"&lt;="&amp;$A9))</f>
        <v/>
      </c>
      <c r="Q9" s="17" t="str">
        <f aca="false">IF($A9="","",SUMIFS(transactions!$I$2:$I$501,transactions!$C$2:$C$501,Q$1,transactions!$B$2:$B$501,"&lt;="&amp;$A9))</f>
        <v/>
      </c>
      <c r="R9" s="17" t="str">
        <f aca="false">IF($A9="","",SUMIFS(transactions!$I$2:$I$501,transactions!$C$2:$C$501,R$1,transactions!$B$2:$B$501,"&lt;="&amp;$A9))</f>
        <v/>
      </c>
      <c r="S9" s="17" t="str">
        <f aca="false">IF($A9="","",SUMIFS(transactions!$I$2:$I$501,transactions!$C$2:$C$501,S$1,transactions!$B$2:$B$501,"&lt;="&amp;$A9))</f>
        <v/>
      </c>
      <c r="T9" s="17" t="str">
        <f aca="false">IF($A9="","",SUMIFS(transactions!$I$2:$I$501,transactions!$C$2:$C$501,T$1,transactions!$B$2:$B$501,"&lt;="&amp;$A9))</f>
        <v/>
      </c>
      <c r="U9" s="17" t="str">
        <f aca="false">IF($A9="","",SUMIFS(transactions!$I$2:$I$501,transactions!$C$2:$C$501,U$1,transactions!$B$2:$B$501,"&lt;="&amp;$A9))</f>
        <v/>
      </c>
      <c r="V9" s="17" t="str">
        <f aca="false">IF($A9="","",SUMIFS(transactions!$I$2:$I$501,transactions!$C$2:$C$501,V$1,transactions!$B$2:$B$501,"&lt;="&amp;$A9))</f>
        <v/>
      </c>
      <c r="W9" s="17" t="str">
        <f aca="false">IF($A9="","",SUMIFS(transactions!$I$2:$I$501,transactions!$C$2:$C$501,W$1,transactions!$B$2:$B$501,"&lt;="&amp;$A9))</f>
        <v/>
      </c>
      <c r="X9" s="17" t="str">
        <f aca="false">IF($A9="","",SUMIFS(transactions!$I$2:$I$501,transactions!$C$2:$C$501,X$1,transactions!$B$2:$B$501,"&lt;="&amp;$A9))</f>
        <v/>
      </c>
      <c r="Y9" s="17" t="str">
        <f aca="false">IF($A9="","",SUMIFS(transactions!$I$2:$I$501,transactions!$C$2:$C$501,Y$1,transactions!$B$2:$B$501,"&lt;="&amp;$A9))</f>
        <v/>
      </c>
      <c r="Z9" s="17" t="str">
        <f aca="false">IF($A9="","",SUMIFS(transactions!$I$2:$I$501,transactions!$C$2:$C$501,Z$1,transactions!$B$2:$B$501,"&lt;="&amp;$A9))</f>
        <v/>
      </c>
      <c r="AA9" s="17" t="str">
        <f aca="false">IF($A9="","",SUMIFS(transactions!$I$2:$I$501,transactions!$C$2:$C$501,AA$1,transactions!$B$2:$B$501,"&lt;="&amp;$A9))</f>
        <v/>
      </c>
      <c r="AB9" s="17" t="str">
        <f aca="false">IF($A9="","",SUMIFS(transactions!$I$2:$I$501,transactions!$C$2:$C$501,AB$1,transactions!$B$2:$B$501,"&lt;="&amp;$A9))</f>
        <v/>
      </c>
      <c r="AC9" s="17" t="str">
        <f aca="false">IF($A9="","",SUMIFS(transactions!$I$2:$I$501,transactions!$C$2:$C$501,AC$1,transactions!$B$2:$B$501,"&lt;="&amp;$A9))</f>
        <v/>
      </c>
      <c r="AD9" s="17" t="str">
        <f aca="false">IF($A9="","",SUMIFS(transactions!$I$2:$I$501,transactions!$C$2:$C$501,AD$1,transactions!$B$2:$B$501,"&lt;="&amp;$A9))</f>
        <v/>
      </c>
      <c r="AE9" s="17" t="str">
        <f aca="false">IF($A9="","",SUMIFS(transactions!$I$2:$I$501,transactions!$C$2:$C$501,AE$1,transactions!$B$2:$B$501,"&lt;="&amp;$A9))</f>
        <v/>
      </c>
      <c r="AF9" s="17" t="str">
        <f aca="false">IF($A9="","",SUMIFS(transactions!$I$2:$I$501,transactions!$C$2:$C$501,AF$1,transactions!$B$2:$B$501,"&lt;="&amp;$A9))</f>
        <v/>
      </c>
      <c r="AG9" s="17" t="str">
        <f aca="false">IF($A9="","",SUMIFS(transactions!$I$2:$I$501,transactions!$C$2:$C$501,AG$1,transactions!$B$2:$B$501,"&lt;="&amp;$A9))</f>
        <v/>
      </c>
      <c r="AH9" s="17" t="str">
        <f aca="false">IF($A9="","",SUMIFS(transactions!$I$2:$I$501,transactions!$C$2:$C$501,AH$1,transactions!$B$2:$B$501,"&lt;="&amp;$A9))</f>
        <v/>
      </c>
      <c r="AI9" s="17" t="str">
        <f aca="false">IF($A9="","",SUMIFS(transactions!$I$2:$I$501,transactions!$C$2:$C$501,AI$1,transactions!$B$2:$B$501,"&lt;="&amp;$A9))</f>
        <v/>
      </c>
      <c r="AJ9" s="17" t="str">
        <f aca="false">IF($A9="","",SUMIFS(transactions!$I$2:$I$501,transactions!$C$2:$C$501,AJ$1,transactions!$B$2:$B$501,"&lt;="&amp;$A9))</f>
        <v/>
      </c>
    </row>
    <row r="10" customFormat="false" ht="15" hidden="false" customHeight="false" outlineLevel="0" collapsed="false">
      <c r="A10" s="20" t="str">
        <f aca="false">IF(prices!A10="","",prices!A10)</f>
        <v/>
      </c>
      <c r="B10" s="17" t="str">
        <f aca="false">IF($A10="","",SUMIFS(transactions!$I$2:$I$501,transactions!$C$2:$C$501,B$1,transactions!$B$2:$B$501,"&lt;="&amp;$A10))</f>
        <v/>
      </c>
      <c r="C10" s="17" t="str">
        <f aca="false">IF($A10="","",SUMIFS(transactions!$I$2:$I$501,transactions!$C$2:$C$501,C$1,transactions!$B$2:$B$501,"&lt;="&amp;$A10))</f>
        <v/>
      </c>
      <c r="D10" s="17" t="str">
        <f aca="false">IF($A10="","",SUMIFS(transactions!$I$2:$I$501,transactions!$C$2:$C$501,D$1,transactions!$B$2:$B$501,"&lt;="&amp;$A10))</f>
        <v/>
      </c>
      <c r="E10" s="17" t="str">
        <f aca="false">IF($A10="","",SUMIFS(transactions!$I$2:$I$501,transactions!$C$2:$C$501,E$1,transactions!$B$2:$B$501,"&lt;="&amp;$A10))</f>
        <v/>
      </c>
      <c r="F10" s="17" t="str">
        <f aca="false">IF($A10="","",SUMIFS(transactions!$I$2:$I$501,transactions!$C$2:$C$501,F$1,transactions!$B$2:$B$501,"&lt;="&amp;$A10))</f>
        <v/>
      </c>
      <c r="G10" s="17" t="str">
        <f aca="false">IF($A10="","",SUMIFS(transactions!$I$2:$I$501,transactions!$C$2:$C$501,G$1,transactions!$B$2:$B$501,"&lt;="&amp;$A10))</f>
        <v/>
      </c>
      <c r="H10" s="17" t="str">
        <f aca="false">IF($A10="","",SUMIFS(transactions!$I$2:$I$501,transactions!$C$2:$C$501,H$1,transactions!$B$2:$B$501,"&lt;="&amp;$A10))</f>
        <v/>
      </c>
      <c r="I10" s="17" t="str">
        <f aca="false">IF($A10="","",SUMIFS(transactions!$I$2:$I$501,transactions!$C$2:$C$501,I$1,transactions!$B$2:$B$501,"&lt;="&amp;$A10))</f>
        <v/>
      </c>
      <c r="J10" s="17" t="str">
        <f aca="false">IF($A10="","",SUMIFS(transactions!$I$2:$I$501,transactions!$C$2:$C$501,J$1,transactions!$B$2:$B$501,"&lt;="&amp;$A10))</f>
        <v/>
      </c>
      <c r="K10" s="17" t="str">
        <f aca="false">IF($A10="","",SUMIFS(transactions!$I$2:$I$501,transactions!$C$2:$C$501,K$1,transactions!$B$2:$B$501,"&lt;="&amp;$A10))</f>
        <v/>
      </c>
      <c r="L10" s="17" t="str">
        <f aca="false">IF($A10="","",SUMIFS(transactions!$I$2:$I$501,transactions!$C$2:$C$501,L$1,transactions!$B$2:$B$501,"&lt;="&amp;$A10))</f>
        <v/>
      </c>
      <c r="M10" s="17" t="str">
        <f aca="false">IF($A10="","",SUMIFS(transactions!$I$2:$I$501,transactions!$C$2:$C$501,M$1,transactions!$B$2:$B$501,"&lt;="&amp;$A10))</f>
        <v/>
      </c>
      <c r="N10" s="17" t="str">
        <f aca="false">IF($A10="","",SUMIFS(transactions!$I$2:$I$501,transactions!$C$2:$C$501,N$1,transactions!$B$2:$B$501,"&lt;="&amp;$A10))</f>
        <v/>
      </c>
      <c r="O10" s="17" t="str">
        <f aca="false">IF($A10="","",SUMIFS(transactions!$I$2:$I$501,transactions!$C$2:$C$501,O$1,transactions!$B$2:$B$501,"&lt;="&amp;$A10))</f>
        <v/>
      </c>
      <c r="P10" s="17" t="str">
        <f aca="false">IF($A10="","",SUMIFS(transactions!$I$2:$I$501,transactions!$C$2:$C$501,P$1,transactions!$B$2:$B$501,"&lt;="&amp;$A10))</f>
        <v/>
      </c>
      <c r="Q10" s="17" t="str">
        <f aca="false">IF($A10="","",SUMIFS(transactions!$I$2:$I$501,transactions!$C$2:$C$501,Q$1,transactions!$B$2:$B$501,"&lt;="&amp;$A10))</f>
        <v/>
      </c>
      <c r="R10" s="17" t="str">
        <f aca="false">IF($A10="","",SUMIFS(transactions!$I$2:$I$501,transactions!$C$2:$C$501,R$1,transactions!$B$2:$B$501,"&lt;="&amp;$A10))</f>
        <v/>
      </c>
      <c r="S10" s="17" t="str">
        <f aca="false">IF($A10="","",SUMIFS(transactions!$I$2:$I$501,transactions!$C$2:$C$501,S$1,transactions!$B$2:$B$501,"&lt;="&amp;$A10))</f>
        <v/>
      </c>
      <c r="T10" s="17" t="str">
        <f aca="false">IF($A10="","",SUMIFS(transactions!$I$2:$I$501,transactions!$C$2:$C$501,T$1,transactions!$B$2:$B$501,"&lt;="&amp;$A10))</f>
        <v/>
      </c>
      <c r="U10" s="17" t="str">
        <f aca="false">IF($A10="","",SUMIFS(transactions!$I$2:$I$501,transactions!$C$2:$C$501,U$1,transactions!$B$2:$B$501,"&lt;="&amp;$A10))</f>
        <v/>
      </c>
      <c r="V10" s="17" t="str">
        <f aca="false">IF($A10="","",SUMIFS(transactions!$I$2:$I$501,transactions!$C$2:$C$501,V$1,transactions!$B$2:$B$501,"&lt;="&amp;$A10))</f>
        <v/>
      </c>
      <c r="W10" s="17" t="str">
        <f aca="false">IF($A10="","",SUMIFS(transactions!$I$2:$I$501,transactions!$C$2:$C$501,W$1,transactions!$B$2:$B$501,"&lt;="&amp;$A10))</f>
        <v/>
      </c>
      <c r="X10" s="17" t="str">
        <f aca="false">IF($A10="","",SUMIFS(transactions!$I$2:$I$501,transactions!$C$2:$C$501,X$1,transactions!$B$2:$B$501,"&lt;="&amp;$A10))</f>
        <v/>
      </c>
      <c r="Y10" s="17" t="str">
        <f aca="false">IF($A10="","",SUMIFS(transactions!$I$2:$I$501,transactions!$C$2:$C$501,Y$1,transactions!$B$2:$B$501,"&lt;="&amp;$A10))</f>
        <v/>
      </c>
      <c r="Z10" s="17" t="str">
        <f aca="false">IF($A10="","",SUMIFS(transactions!$I$2:$I$501,transactions!$C$2:$C$501,Z$1,transactions!$B$2:$B$501,"&lt;="&amp;$A10))</f>
        <v/>
      </c>
      <c r="AA10" s="17" t="str">
        <f aca="false">IF($A10="","",SUMIFS(transactions!$I$2:$I$501,transactions!$C$2:$C$501,AA$1,transactions!$B$2:$B$501,"&lt;="&amp;$A10))</f>
        <v/>
      </c>
      <c r="AB10" s="17" t="str">
        <f aca="false">IF($A10="","",SUMIFS(transactions!$I$2:$I$501,transactions!$C$2:$C$501,AB$1,transactions!$B$2:$B$501,"&lt;="&amp;$A10))</f>
        <v/>
      </c>
      <c r="AC10" s="17" t="str">
        <f aca="false">IF($A10="","",SUMIFS(transactions!$I$2:$I$501,transactions!$C$2:$C$501,AC$1,transactions!$B$2:$B$501,"&lt;="&amp;$A10))</f>
        <v/>
      </c>
      <c r="AD10" s="17" t="str">
        <f aca="false">IF($A10="","",SUMIFS(transactions!$I$2:$I$501,transactions!$C$2:$C$501,AD$1,transactions!$B$2:$B$501,"&lt;="&amp;$A10))</f>
        <v/>
      </c>
      <c r="AE10" s="17" t="str">
        <f aca="false">IF($A10="","",SUMIFS(transactions!$I$2:$I$501,transactions!$C$2:$C$501,AE$1,transactions!$B$2:$B$501,"&lt;="&amp;$A10))</f>
        <v/>
      </c>
      <c r="AF10" s="17" t="str">
        <f aca="false">IF($A10="","",SUMIFS(transactions!$I$2:$I$501,transactions!$C$2:$C$501,AF$1,transactions!$B$2:$B$501,"&lt;="&amp;$A10))</f>
        <v/>
      </c>
      <c r="AG10" s="17" t="str">
        <f aca="false">IF($A10="","",SUMIFS(transactions!$I$2:$I$501,transactions!$C$2:$C$501,AG$1,transactions!$B$2:$B$501,"&lt;="&amp;$A10))</f>
        <v/>
      </c>
      <c r="AH10" s="17" t="str">
        <f aca="false">IF($A10="","",SUMIFS(transactions!$I$2:$I$501,transactions!$C$2:$C$501,AH$1,transactions!$B$2:$B$501,"&lt;="&amp;$A10))</f>
        <v/>
      </c>
      <c r="AI10" s="17" t="str">
        <f aca="false">IF($A10="","",SUMIFS(transactions!$I$2:$I$501,transactions!$C$2:$C$501,AI$1,transactions!$B$2:$B$501,"&lt;="&amp;$A10))</f>
        <v/>
      </c>
      <c r="AJ10" s="17" t="str">
        <f aca="false">IF($A10="","",SUMIFS(transactions!$I$2:$I$501,transactions!$C$2:$C$501,AJ$1,transactions!$B$2:$B$501,"&lt;="&amp;$A10))</f>
        <v/>
      </c>
    </row>
    <row r="11" customFormat="false" ht="15" hidden="false" customHeight="false" outlineLevel="0" collapsed="false">
      <c r="A11" s="20" t="str">
        <f aca="false">IF(prices!A11="","",prices!A11)</f>
        <v/>
      </c>
      <c r="B11" s="17" t="str">
        <f aca="false">IF($A11="","",SUMIFS(transactions!$I$2:$I$501,transactions!$C$2:$C$501,B$1,transactions!$B$2:$B$501,"&lt;="&amp;$A11))</f>
        <v/>
      </c>
      <c r="C11" s="17" t="str">
        <f aca="false">IF($A11="","",SUMIFS(transactions!$I$2:$I$501,transactions!$C$2:$C$501,C$1,transactions!$B$2:$B$501,"&lt;="&amp;$A11))</f>
        <v/>
      </c>
      <c r="D11" s="17" t="str">
        <f aca="false">IF($A11="","",SUMIFS(transactions!$I$2:$I$501,transactions!$C$2:$C$501,D$1,transactions!$B$2:$B$501,"&lt;="&amp;$A11))</f>
        <v/>
      </c>
      <c r="E11" s="17" t="str">
        <f aca="false">IF($A11="","",SUMIFS(transactions!$I$2:$I$501,transactions!$C$2:$C$501,E$1,transactions!$B$2:$B$501,"&lt;="&amp;$A11))</f>
        <v/>
      </c>
      <c r="F11" s="17" t="str">
        <f aca="false">IF($A11="","",SUMIFS(transactions!$I$2:$I$501,transactions!$C$2:$C$501,F$1,transactions!$B$2:$B$501,"&lt;="&amp;$A11))</f>
        <v/>
      </c>
      <c r="G11" s="17" t="str">
        <f aca="false">IF($A11="","",SUMIFS(transactions!$I$2:$I$501,transactions!$C$2:$C$501,G$1,transactions!$B$2:$B$501,"&lt;="&amp;$A11))</f>
        <v/>
      </c>
      <c r="H11" s="17" t="str">
        <f aca="false">IF($A11="","",SUMIFS(transactions!$I$2:$I$501,transactions!$C$2:$C$501,H$1,transactions!$B$2:$B$501,"&lt;="&amp;$A11))</f>
        <v/>
      </c>
      <c r="I11" s="17" t="str">
        <f aca="false">IF($A11="","",SUMIFS(transactions!$I$2:$I$501,transactions!$C$2:$C$501,I$1,transactions!$B$2:$B$501,"&lt;="&amp;$A11))</f>
        <v/>
      </c>
      <c r="J11" s="17" t="str">
        <f aca="false">IF($A11="","",SUMIFS(transactions!$I$2:$I$501,transactions!$C$2:$C$501,J$1,transactions!$B$2:$B$501,"&lt;="&amp;$A11))</f>
        <v/>
      </c>
      <c r="K11" s="17" t="str">
        <f aca="false">IF($A11="","",SUMIFS(transactions!$I$2:$I$501,transactions!$C$2:$C$501,K$1,transactions!$B$2:$B$501,"&lt;="&amp;$A11))</f>
        <v/>
      </c>
      <c r="L11" s="17" t="str">
        <f aca="false">IF($A11="","",SUMIFS(transactions!$I$2:$I$501,transactions!$C$2:$C$501,L$1,transactions!$B$2:$B$501,"&lt;="&amp;$A11))</f>
        <v/>
      </c>
      <c r="M11" s="17" t="str">
        <f aca="false">IF($A11="","",SUMIFS(transactions!$I$2:$I$501,transactions!$C$2:$C$501,M$1,transactions!$B$2:$B$501,"&lt;="&amp;$A11))</f>
        <v/>
      </c>
      <c r="N11" s="17" t="str">
        <f aca="false">IF($A11="","",SUMIFS(transactions!$I$2:$I$501,transactions!$C$2:$C$501,N$1,transactions!$B$2:$B$501,"&lt;="&amp;$A11))</f>
        <v/>
      </c>
      <c r="O11" s="17" t="str">
        <f aca="false">IF($A11="","",SUMIFS(transactions!$I$2:$I$501,transactions!$C$2:$C$501,O$1,transactions!$B$2:$B$501,"&lt;="&amp;$A11))</f>
        <v/>
      </c>
      <c r="P11" s="17" t="str">
        <f aca="false">IF($A11="","",SUMIFS(transactions!$I$2:$I$501,transactions!$C$2:$C$501,P$1,transactions!$B$2:$B$501,"&lt;="&amp;$A11))</f>
        <v/>
      </c>
      <c r="Q11" s="17" t="str">
        <f aca="false">IF($A11="","",SUMIFS(transactions!$I$2:$I$501,transactions!$C$2:$C$501,Q$1,transactions!$B$2:$B$501,"&lt;="&amp;$A11))</f>
        <v/>
      </c>
      <c r="R11" s="17" t="str">
        <f aca="false">IF($A11="","",SUMIFS(transactions!$I$2:$I$501,transactions!$C$2:$C$501,R$1,transactions!$B$2:$B$501,"&lt;="&amp;$A11))</f>
        <v/>
      </c>
      <c r="S11" s="17" t="str">
        <f aca="false">IF($A11="","",SUMIFS(transactions!$I$2:$I$501,transactions!$C$2:$C$501,S$1,transactions!$B$2:$B$501,"&lt;="&amp;$A11))</f>
        <v/>
      </c>
      <c r="T11" s="17" t="str">
        <f aca="false">IF($A11="","",SUMIFS(transactions!$I$2:$I$501,transactions!$C$2:$C$501,T$1,transactions!$B$2:$B$501,"&lt;="&amp;$A11))</f>
        <v/>
      </c>
      <c r="U11" s="17" t="str">
        <f aca="false">IF($A11="","",SUMIFS(transactions!$I$2:$I$501,transactions!$C$2:$C$501,U$1,transactions!$B$2:$B$501,"&lt;="&amp;$A11))</f>
        <v/>
      </c>
      <c r="V11" s="17" t="str">
        <f aca="false">IF($A11="","",SUMIFS(transactions!$I$2:$I$501,transactions!$C$2:$C$501,V$1,transactions!$B$2:$B$501,"&lt;="&amp;$A11))</f>
        <v/>
      </c>
      <c r="W11" s="17" t="str">
        <f aca="false">IF($A11="","",SUMIFS(transactions!$I$2:$I$501,transactions!$C$2:$C$501,W$1,transactions!$B$2:$B$501,"&lt;="&amp;$A11))</f>
        <v/>
      </c>
      <c r="X11" s="17" t="str">
        <f aca="false">IF($A11="","",SUMIFS(transactions!$I$2:$I$501,transactions!$C$2:$C$501,X$1,transactions!$B$2:$B$501,"&lt;="&amp;$A11))</f>
        <v/>
      </c>
      <c r="Y11" s="17" t="str">
        <f aca="false">IF($A11="","",SUMIFS(transactions!$I$2:$I$501,transactions!$C$2:$C$501,Y$1,transactions!$B$2:$B$501,"&lt;="&amp;$A11))</f>
        <v/>
      </c>
      <c r="Z11" s="17" t="str">
        <f aca="false">IF($A11="","",SUMIFS(transactions!$I$2:$I$501,transactions!$C$2:$C$501,Z$1,transactions!$B$2:$B$501,"&lt;="&amp;$A11))</f>
        <v/>
      </c>
      <c r="AA11" s="17" t="str">
        <f aca="false">IF($A11="","",SUMIFS(transactions!$I$2:$I$501,transactions!$C$2:$C$501,AA$1,transactions!$B$2:$B$501,"&lt;="&amp;$A11))</f>
        <v/>
      </c>
      <c r="AB11" s="17" t="str">
        <f aca="false">IF($A11="","",SUMIFS(transactions!$I$2:$I$501,transactions!$C$2:$C$501,AB$1,transactions!$B$2:$B$501,"&lt;="&amp;$A11))</f>
        <v/>
      </c>
      <c r="AC11" s="17" t="str">
        <f aca="false">IF($A11="","",SUMIFS(transactions!$I$2:$I$501,transactions!$C$2:$C$501,AC$1,transactions!$B$2:$B$501,"&lt;="&amp;$A11))</f>
        <v/>
      </c>
      <c r="AD11" s="17" t="str">
        <f aca="false">IF($A11="","",SUMIFS(transactions!$I$2:$I$501,transactions!$C$2:$C$501,AD$1,transactions!$B$2:$B$501,"&lt;="&amp;$A11))</f>
        <v/>
      </c>
      <c r="AE11" s="17" t="str">
        <f aca="false">IF($A11="","",SUMIFS(transactions!$I$2:$I$501,transactions!$C$2:$C$501,AE$1,transactions!$B$2:$B$501,"&lt;="&amp;$A11))</f>
        <v/>
      </c>
      <c r="AF11" s="17" t="str">
        <f aca="false">IF($A11="","",SUMIFS(transactions!$I$2:$I$501,transactions!$C$2:$C$501,AF$1,transactions!$B$2:$B$501,"&lt;="&amp;$A11))</f>
        <v/>
      </c>
      <c r="AG11" s="17" t="str">
        <f aca="false">IF($A11="","",SUMIFS(transactions!$I$2:$I$501,transactions!$C$2:$C$501,AG$1,transactions!$B$2:$B$501,"&lt;="&amp;$A11))</f>
        <v/>
      </c>
      <c r="AH11" s="17" t="str">
        <f aca="false">IF($A11="","",SUMIFS(transactions!$I$2:$I$501,transactions!$C$2:$C$501,AH$1,transactions!$B$2:$B$501,"&lt;="&amp;$A11))</f>
        <v/>
      </c>
      <c r="AI11" s="17" t="str">
        <f aca="false">IF($A11="","",SUMIFS(transactions!$I$2:$I$501,transactions!$C$2:$C$501,AI$1,transactions!$B$2:$B$501,"&lt;="&amp;$A11))</f>
        <v/>
      </c>
      <c r="AJ11" s="17" t="str">
        <f aca="false">IF($A11="","",SUMIFS(transactions!$I$2:$I$501,transactions!$C$2:$C$501,AJ$1,transactions!$B$2:$B$501,"&lt;="&amp;$A11))</f>
        <v/>
      </c>
    </row>
    <row r="12" customFormat="false" ht="15" hidden="false" customHeight="false" outlineLevel="0" collapsed="false">
      <c r="A12" s="20" t="str">
        <f aca="false">IF(prices!A12="","",prices!A12)</f>
        <v/>
      </c>
      <c r="B12" s="17" t="str">
        <f aca="false">IF($A12="","",SUMIFS(transactions!$I$2:$I$501,transactions!$C$2:$C$501,B$1,transactions!$B$2:$B$501,"&lt;="&amp;$A12))</f>
        <v/>
      </c>
      <c r="C12" s="17" t="str">
        <f aca="false">IF($A12="","",SUMIFS(transactions!$I$2:$I$501,transactions!$C$2:$C$501,C$1,transactions!$B$2:$B$501,"&lt;="&amp;$A12))</f>
        <v/>
      </c>
      <c r="D12" s="17" t="str">
        <f aca="false">IF($A12="","",SUMIFS(transactions!$I$2:$I$501,transactions!$C$2:$C$501,D$1,transactions!$B$2:$B$501,"&lt;="&amp;$A12))</f>
        <v/>
      </c>
      <c r="E12" s="17" t="str">
        <f aca="false">IF($A12="","",SUMIFS(transactions!$I$2:$I$501,transactions!$C$2:$C$501,E$1,transactions!$B$2:$B$501,"&lt;="&amp;$A12))</f>
        <v/>
      </c>
      <c r="F12" s="17" t="str">
        <f aca="false">IF($A12="","",SUMIFS(transactions!$I$2:$I$501,transactions!$C$2:$C$501,F$1,transactions!$B$2:$B$501,"&lt;="&amp;$A12))</f>
        <v/>
      </c>
      <c r="G12" s="17" t="str">
        <f aca="false">IF($A12="","",SUMIFS(transactions!$I$2:$I$501,transactions!$C$2:$C$501,G$1,transactions!$B$2:$B$501,"&lt;="&amp;$A12))</f>
        <v/>
      </c>
      <c r="H12" s="17" t="str">
        <f aca="false">IF($A12="","",SUMIFS(transactions!$I$2:$I$501,transactions!$C$2:$C$501,H$1,transactions!$B$2:$B$501,"&lt;="&amp;$A12))</f>
        <v/>
      </c>
      <c r="I12" s="17" t="str">
        <f aca="false">IF($A12="","",SUMIFS(transactions!$I$2:$I$501,transactions!$C$2:$C$501,I$1,transactions!$B$2:$B$501,"&lt;="&amp;$A12))</f>
        <v/>
      </c>
      <c r="J12" s="17" t="str">
        <f aca="false">IF($A12="","",SUMIFS(transactions!$I$2:$I$501,transactions!$C$2:$C$501,J$1,transactions!$B$2:$B$501,"&lt;="&amp;$A12))</f>
        <v/>
      </c>
      <c r="K12" s="17" t="str">
        <f aca="false">IF($A12="","",SUMIFS(transactions!$I$2:$I$501,transactions!$C$2:$C$501,K$1,transactions!$B$2:$B$501,"&lt;="&amp;$A12))</f>
        <v/>
      </c>
      <c r="L12" s="17" t="str">
        <f aca="false">IF($A12="","",SUMIFS(transactions!$I$2:$I$501,transactions!$C$2:$C$501,L$1,transactions!$B$2:$B$501,"&lt;="&amp;$A12))</f>
        <v/>
      </c>
      <c r="M12" s="17" t="str">
        <f aca="false">IF($A12="","",SUMIFS(transactions!$I$2:$I$501,transactions!$C$2:$C$501,M$1,transactions!$B$2:$B$501,"&lt;="&amp;$A12))</f>
        <v/>
      </c>
      <c r="N12" s="17" t="str">
        <f aca="false">IF($A12="","",SUMIFS(transactions!$I$2:$I$501,transactions!$C$2:$C$501,N$1,transactions!$B$2:$B$501,"&lt;="&amp;$A12))</f>
        <v/>
      </c>
      <c r="O12" s="17" t="str">
        <f aca="false">IF($A12="","",SUMIFS(transactions!$I$2:$I$501,transactions!$C$2:$C$501,O$1,transactions!$B$2:$B$501,"&lt;="&amp;$A12))</f>
        <v/>
      </c>
      <c r="P12" s="17" t="str">
        <f aca="false">IF($A12="","",SUMIFS(transactions!$I$2:$I$501,transactions!$C$2:$C$501,P$1,transactions!$B$2:$B$501,"&lt;="&amp;$A12))</f>
        <v/>
      </c>
      <c r="Q12" s="17" t="str">
        <f aca="false">IF($A12="","",SUMIFS(transactions!$I$2:$I$501,transactions!$C$2:$C$501,Q$1,transactions!$B$2:$B$501,"&lt;="&amp;$A12))</f>
        <v/>
      </c>
      <c r="R12" s="17" t="str">
        <f aca="false">IF($A12="","",SUMIFS(transactions!$I$2:$I$501,transactions!$C$2:$C$501,R$1,transactions!$B$2:$B$501,"&lt;="&amp;$A12))</f>
        <v/>
      </c>
      <c r="S12" s="17" t="str">
        <f aca="false">IF($A12="","",SUMIFS(transactions!$I$2:$I$501,transactions!$C$2:$C$501,S$1,transactions!$B$2:$B$501,"&lt;="&amp;$A12))</f>
        <v/>
      </c>
      <c r="T12" s="17" t="str">
        <f aca="false">IF($A12="","",SUMIFS(transactions!$I$2:$I$501,transactions!$C$2:$C$501,T$1,transactions!$B$2:$B$501,"&lt;="&amp;$A12))</f>
        <v/>
      </c>
      <c r="U12" s="17" t="str">
        <f aca="false">IF($A12="","",SUMIFS(transactions!$I$2:$I$501,transactions!$C$2:$C$501,U$1,transactions!$B$2:$B$501,"&lt;="&amp;$A12))</f>
        <v/>
      </c>
      <c r="V12" s="17" t="str">
        <f aca="false">IF($A12="","",SUMIFS(transactions!$I$2:$I$501,transactions!$C$2:$C$501,V$1,transactions!$B$2:$B$501,"&lt;="&amp;$A12))</f>
        <v/>
      </c>
      <c r="W12" s="17" t="str">
        <f aca="false">IF($A12="","",SUMIFS(transactions!$I$2:$I$501,transactions!$C$2:$C$501,W$1,transactions!$B$2:$B$501,"&lt;="&amp;$A12))</f>
        <v/>
      </c>
      <c r="X12" s="17" t="str">
        <f aca="false">IF($A12="","",SUMIFS(transactions!$I$2:$I$501,transactions!$C$2:$C$501,X$1,transactions!$B$2:$B$501,"&lt;="&amp;$A12))</f>
        <v/>
      </c>
      <c r="Y12" s="17" t="str">
        <f aca="false">IF($A12="","",SUMIFS(transactions!$I$2:$I$501,transactions!$C$2:$C$501,Y$1,transactions!$B$2:$B$501,"&lt;="&amp;$A12))</f>
        <v/>
      </c>
      <c r="Z12" s="17" t="str">
        <f aca="false">IF($A12="","",SUMIFS(transactions!$I$2:$I$501,transactions!$C$2:$C$501,Z$1,transactions!$B$2:$B$501,"&lt;="&amp;$A12))</f>
        <v/>
      </c>
      <c r="AA12" s="17" t="str">
        <f aca="false">IF($A12="","",SUMIFS(transactions!$I$2:$I$501,transactions!$C$2:$C$501,AA$1,transactions!$B$2:$B$501,"&lt;="&amp;$A12))</f>
        <v/>
      </c>
      <c r="AB12" s="17" t="str">
        <f aca="false">IF($A12="","",SUMIFS(transactions!$I$2:$I$501,transactions!$C$2:$C$501,AB$1,transactions!$B$2:$B$501,"&lt;="&amp;$A12))</f>
        <v/>
      </c>
      <c r="AC12" s="17" t="str">
        <f aca="false">IF($A12="","",SUMIFS(transactions!$I$2:$I$501,transactions!$C$2:$C$501,AC$1,transactions!$B$2:$B$501,"&lt;="&amp;$A12))</f>
        <v/>
      </c>
      <c r="AD12" s="17" t="str">
        <f aca="false">IF($A12="","",SUMIFS(transactions!$I$2:$I$501,transactions!$C$2:$C$501,AD$1,transactions!$B$2:$B$501,"&lt;="&amp;$A12))</f>
        <v/>
      </c>
      <c r="AE12" s="17" t="str">
        <f aca="false">IF($A12="","",SUMIFS(transactions!$I$2:$I$501,transactions!$C$2:$C$501,AE$1,transactions!$B$2:$B$501,"&lt;="&amp;$A12))</f>
        <v/>
      </c>
      <c r="AF12" s="17" t="str">
        <f aca="false">IF($A12="","",SUMIFS(transactions!$I$2:$I$501,transactions!$C$2:$C$501,AF$1,transactions!$B$2:$B$501,"&lt;="&amp;$A12))</f>
        <v/>
      </c>
      <c r="AG12" s="17" t="str">
        <f aca="false">IF($A12="","",SUMIFS(transactions!$I$2:$I$501,transactions!$C$2:$C$501,AG$1,transactions!$B$2:$B$501,"&lt;="&amp;$A12))</f>
        <v/>
      </c>
      <c r="AH12" s="17" t="str">
        <f aca="false">IF($A12="","",SUMIFS(transactions!$I$2:$I$501,transactions!$C$2:$C$501,AH$1,transactions!$B$2:$B$501,"&lt;="&amp;$A12))</f>
        <v/>
      </c>
      <c r="AI12" s="17" t="str">
        <f aca="false">IF($A12="","",SUMIFS(transactions!$I$2:$I$501,transactions!$C$2:$C$501,AI$1,transactions!$B$2:$B$501,"&lt;="&amp;$A12))</f>
        <v/>
      </c>
      <c r="AJ12" s="17" t="str">
        <f aca="false">IF($A12="","",SUMIFS(transactions!$I$2:$I$501,transactions!$C$2:$C$501,AJ$1,transactions!$B$2:$B$501,"&lt;="&amp;$A12))</f>
        <v/>
      </c>
    </row>
    <row r="13" customFormat="false" ht="15" hidden="false" customHeight="false" outlineLevel="0" collapsed="false">
      <c r="A13" s="20" t="str">
        <f aca="false">IF(prices!A13="","",prices!A13)</f>
        <v/>
      </c>
      <c r="B13" s="17" t="str">
        <f aca="false">IF($A13="","",SUMIFS(transactions!$I$2:$I$501,transactions!$C$2:$C$501,B$1,transactions!$B$2:$B$501,"&lt;="&amp;$A13))</f>
        <v/>
      </c>
      <c r="C13" s="17" t="str">
        <f aca="false">IF($A13="","",SUMIFS(transactions!$I$2:$I$501,transactions!$C$2:$C$501,C$1,transactions!$B$2:$B$501,"&lt;="&amp;$A13))</f>
        <v/>
      </c>
      <c r="D13" s="17" t="str">
        <f aca="false">IF($A13="","",SUMIFS(transactions!$I$2:$I$501,transactions!$C$2:$C$501,D$1,transactions!$B$2:$B$501,"&lt;="&amp;$A13))</f>
        <v/>
      </c>
      <c r="E13" s="17" t="str">
        <f aca="false">IF($A13="","",SUMIFS(transactions!$I$2:$I$501,transactions!$C$2:$C$501,E$1,transactions!$B$2:$B$501,"&lt;="&amp;$A13))</f>
        <v/>
      </c>
      <c r="F13" s="17" t="str">
        <f aca="false">IF($A13="","",SUMIFS(transactions!$I$2:$I$501,transactions!$C$2:$C$501,F$1,transactions!$B$2:$B$501,"&lt;="&amp;$A13))</f>
        <v/>
      </c>
      <c r="G13" s="17" t="str">
        <f aca="false">IF($A13="","",SUMIFS(transactions!$I$2:$I$501,transactions!$C$2:$C$501,G$1,transactions!$B$2:$B$501,"&lt;="&amp;$A13))</f>
        <v/>
      </c>
      <c r="H13" s="17" t="str">
        <f aca="false">IF($A13="","",SUMIFS(transactions!$I$2:$I$501,transactions!$C$2:$C$501,H$1,transactions!$B$2:$B$501,"&lt;="&amp;$A13))</f>
        <v/>
      </c>
      <c r="I13" s="17" t="str">
        <f aca="false">IF($A13="","",SUMIFS(transactions!$I$2:$I$501,transactions!$C$2:$C$501,I$1,transactions!$B$2:$B$501,"&lt;="&amp;$A13))</f>
        <v/>
      </c>
      <c r="J13" s="17" t="str">
        <f aca="false">IF($A13="","",SUMIFS(transactions!$I$2:$I$501,transactions!$C$2:$C$501,J$1,transactions!$B$2:$B$501,"&lt;="&amp;$A13))</f>
        <v/>
      </c>
      <c r="K13" s="17" t="str">
        <f aca="false">IF($A13="","",SUMIFS(transactions!$I$2:$I$501,transactions!$C$2:$C$501,K$1,transactions!$B$2:$B$501,"&lt;="&amp;$A13))</f>
        <v/>
      </c>
      <c r="L13" s="17" t="str">
        <f aca="false">IF($A13="","",SUMIFS(transactions!$I$2:$I$501,transactions!$C$2:$C$501,L$1,transactions!$B$2:$B$501,"&lt;="&amp;$A13))</f>
        <v/>
      </c>
      <c r="M13" s="17" t="str">
        <f aca="false">IF($A13="","",SUMIFS(transactions!$I$2:$I$501,transactions!$C$2:$C$501,M$1,transactions!$B$2:$B$501,"&lt;="&amp;$A13))</f>
        <v/>
      </c>
      <c r="N13" s="17" t="str">
        <f aca="false">IF($A13="","",SUMIFS(transactions!$I$2:$I$501,transactions!$C$2:$C$501,N$1,transactions!$B$2:$B$501,"&lt;="&amp;$A13))</f>
        <v/>
      </c>
      <c r="O13" s="17" t="str">
        <f aca="false">IF($A13="","",SUMIFS(transactions!$I$2:$I$501,transactions!$C$2:$C$501,O$1,transactions!$B$2:$B$501,"&lt;="&amp;$A13))</f>
        <v/>
      </c>
      <c r="P13" s="17" t="str">
        <f aca="false">IF($A13="","",SUMIFS(transactions!$I$2:$I$501,transactions!$C$2:$C$501,P$1,transactions!$B$2:$B$501,"&lt;="&amp;$A13))</f>
        <v/>
      </c>
      <c r="Q13" s="17" t="str">
        <f aca="false">IF($A13="","",SUMIFS(transactions!$I$2:$I$501,transactions!$C$2:$C$501,Q$1,transactions!$B$2:$B$501,"&lt;="&amp;$A13))</f>
        <v/>
      </c>
      <c r="R13" s="17" t="str">
        <f aca="false">IF($A13="","",SUMIFS(transactions!$I$2:$I$501,transactions!$C$2:$C$501,R$1,transactions!$B$2:$B$501,"&lt;="&amp;$A13))</f>
        <v/>
      </c>
      <c r="S13" s="17" t="str">
        <f aca="false">IF($A13="","",SUMIFS(transactions!$I$2:$I$501,transactions!$C$2:$C$501,S$1,transactions!$B$2:$B$501,"&lt;="&amp;$A13))</f>
        <v/>
      </c>
      <c r="T13" s="17" t="str">
        <f aca="false">IF($A13="","",SUMIFS(transactions!$I$2:$I$501,transactions!$C$2:$C$501,T$1,transactions!$B$2:$B$501,"&lt;="&amp;$A13))</f>
        <v/>
      </c>
      <c r="U13" s="17" t="str">
        <f aca="false">IF($A13="","",SUMIFS(transactions!$I$2:$I$501,transactions!$C$2:$C$501,U$1,transactions!$B$2:$B$501,"&lt;="&amp;$A13))</f>
        <v/>
      </c>
      <c r="V13" s="17" t="str">
        <f aca="false">IF($A13="","",SUMIFS(transactions!$I$2:$I$501,transactions!$C$2:$C$501,V$1,transactions!$B$2:$B$501,"&lt;="&amp;$A13))</f>
        <v/>
      </c>
      <c r="W13" s="17" t="str">
        <f aca="false">IF($A13="","",SUMIFS(transactions!$I$2:$I$501,transactions!$C$2:$C$501,W$1,transactions!$B$2:$B$501,"&lt;="&amp;$A13))</f>
        <v/>
      </c>
      <c r="X13" s="17" t="str">
        <f aca="false">IF($A13="","",SUMIFS(transactions!$I$2:$I$501,transactions!$C$2:$C$501,X$1,transactions!$B$2:$B$501,"&lt;="&amp;$A13))</f>
        <v/>
      </c>
      <c r="Y13" s="17" t="str">
        <f aca="false">IF($A13="","",SUMIFS(transactions!$I$2:$I$501,transactions!$C$2:$C$501,Y$1,transactions!$B$2:$B$501,"&lt;="&amp;$A13))</f>
        <v/>
      </c>
      <c r="Z13" s="17" t="str">
        <f aca="false">IF($A13="","",SUMIFS(transactions!$I$2:$I$501,transactions!$C$2:$C$501,Z$1,transactions!$B$2:$B$501,"&lt;="&amp;$A13))</f>
        <v/>
      </c>
      <c r="AA13" s="17" t="str">
        <f aca="false">IF($A13="","",SUMIFS(transactions!$I$2:$I$501,transactions!$C$2:$C$501,AA$1,transactions!$B$2:$B$501,"&lt;="&amp;$A13))</f>
        <v/>
      </c>
      <c r="AB13" s="17" t="str">
        <f aca="false">IF($A13="","",SUMIFS(transactions!$I$2:$I$501,transactions!$C$2:$C$501,AB$1,transactions!$B$2:$B$501,"&lt;="&amp;$A13))</f>
        <v/>
      </c>
      <c r="AC13" s="17" t="str">
        <f aca="false">IF($A13="","",SUMIFS(transactions!$I$2:$I$501,transactions!$C$2:$C$501,AC$1,transactions!$B$2:$B$501,"&lt;="&amp;$A13))</f>
        <v/>
      </c>
      <c r="AD13" s="17" t="str">
        <f aca="false">IF($A13="","",SUMIFS(transactions!$I$2:$I$501,transactions!$C$2:$C$501,AD$1,transactions!$B$2:$B$501,"&lt;="&amp;$A13))</f>
        <v/>
      </c>
      <c r="AE13" s="17" t="str">
        <f aca="false">IF($A13="","",SUMIFS(transactions!$I$2:$I$501,transactions!$C$2:$C$501,AE$1,transactions!$B$2:$B$501,"&lt;="&amp;$A13))</f>
        <v/>
      </c>
      <c r="AF13" s="17" t="str">
        <f aca="false">IF($A13="","",SUMIFS(transactions!$I$2:$I$501,transactions!$C$2:$C$501,AF$1,transactions!$B$2:$B$501,"&lt;="&amp;$A13))</f>
        <v/>
      </c>
      <c r="AG13" s="17" t="str">
        <f aca="false">IF($A13="","",SUMIFS(transactions!$I$2:$I$501,transactions!$C$2:$C$501,AG$1,transactions!$B$2:$B$501,"&lt;="&amp;$A13))</f>
        <v/>
      </c>
      <c r="AH13" s="17" t="str">
        <f aca="false">IF($A13="","",SUMIFS(transactions!$I$2:$I$501,transactions!$C$2:$C$501,AH$1,transactions!$B$2:$B$501,"&lt;="&amp;$A13))</f>
        <v/>
      </c>
      <c r="AI13" s="17" t="str">
        <f aca="false">IF($A13="","",SUMIFS(transactions!$I$2:$I$501,transactions!$C$2:$C$501,AI$1,transactions!$B$2:$B$501,"&lt;="&amp;$A13))</f>
        <v/>
      </c>
      <c r="AJ13" s="17" t="str">
        <f aca="false">IF($A13="","",SUMIFS(transactions!$I$2:$I$501,transactions!$C$2:$C$501,AJ$1,transactions!$B$2:$B$501,"&lt;="&amp;$A13))</f>
        <v/>
      </c>
    </row>
    <row r="14" customFormat="false" ht="15" hidden="false" customHeight="false" outlineLevel="0" collapsed="false">
      <c r="A14" s="20" t="str">
        <f aca="false">IF(prices!A14="","",prices!A14)</f>
        <v/>
      </c>
      <c r="B14" s="17" t="str">
        <f aca="false">IF($A14="","",SUMIFS(transactions!$I$2:$I$501,transactions!$C$2:$C$501,B$1,transactions!$B$2:$B$501,"&lt;="&amp;$A14))</f>
        <v/>
      </c>
      <c r="C14" s="17" t="str">
        <f aca="false">IF($A14="","",SUMIFS(transactions!$I$2:$I$501,transactions!$C$2:$C$501,C$1,transactions!$B$2:$B$501,"&lt;="&amp;$A14))</f>
        <v/>
      </c>
      <c r="D14" s="17" t="str">
        <f aca="false">IF($A14="","",SUMIFS(transactions!$I$2:$I$501,transactions!$C$2:$C$501,D$1,transactions!$B$2:$B$501,"&lt;="&amp;$A14))</f>
        <v/>
      </c>
      <c r="E14" s="17" t="str">
        <f aca="false">IF($A14="","",SUMIFS(transactions!$I$2:$I$501,transactions!$C$2:$C$501,E$1,transactions!$B$2:$B$501,"&lt;="&amp;$A14))</f>
        <v/>
      </c>
      <c r="F14" s="17" t="str">
        <f aca="false">IF($A14="","",SUMIFS(transactions!$I$2:$I$501,transactions!$C$2:$C$501,F$1,transactions!$B$2:$B$501,"&lt;="&amp;$A14))</f>
        <v/>
      </c>
      <c r="G14" s="17" t="str">
        <f aca="false">IF($A14="","",SUMIFS(transactions!$I$2:$I$501,transactions!$C$2:$C$501,G$1,transactions!$B$2:$B$501,"&lt;="&amp;$A14))</f>
        <v/>
      </c>
      <c r="H14" s="17" t="str">
        <f aca="false">IF($A14="","",SUMIFS(transactions!$I$2:$I$501,transactions!$C$2:$C$501,H$1,transactions!$B$2:$B$501,"&lt;="&amp;$A14))</f>
        <v/>
      </c>
      <c r="I14" s="17" t="str">
        <f aca="false">IF($A14="","",SUMIFS(transactions!$I$2:$I$501,transactions!$C$2:$C$501,I$1,transactions!$B$2:$B$501,"&lt;="&amp;$A14))</f>
        <v/>
      </c>
      <c r="J14" s="17" t="str">
        <f aca="false">IF($A14="","",SUMIFS(transactions!$I$2:$I$501,transactions!$C$2:$C$501,J$1,transactions!$B$2:$B$501,"&lt;="&amp;$A14))</f>
        <v/>
      </c>
      <c r="K14" s="17" t="str">
        <f aca="false">IF($A14="","",SUMIFS(transactions!$I$2:$I$501,transactions!$C$2:$C$501,K$1,transactions!$B$2:$B$501,"&lt;="&amp;$A14))</f>
        <v/>
      </c>
      <c r="L14" s="17" t="str">
        <f aca="false">IF($A14="","",SUMIFS(transactions!$I$2:$I$501,transactions!$C$2:$C$501,L$1,transactions!$B$2:$B$501,"&lt;="&amp;$A14))</f>
        <v/>
      </c>
      <c r="M14" s="17" t="str">
        <f aca="false">IF($A14="","",SUMIFS(transactions!$I$2:$I$501,transactions!$C$2:$C$501,M$1,transactions!$B$2:$B$501,"&lt;="&amp;$A14))</f>
        <v/>
      </c>
      <c r="N14" s="17" t="str">
        <f aca="false">IF($A14="","",SUMIFS(transactions!$I$2:$I$501,transactions!$C$2:$C$501,N$1,transactions!$B$2:$B$501,"&lt;="&amp;$A14))</f>
        <v/>
      </c>
      <c r="O14" s="17" t="str">
        <f aca="false">IF($A14="","",SUMIFS(transactions!$I$2:$I$501,transactions!$C$2:$C$501,O$1,transactions!$B$2:$B$501,"&lt;="&amp;$A14))</f>
        <v/>
      </c>
      <c r="P14" s="17" t="str">
        <f aca="false">IF($A14="","",SUMIFS(transactions!$I$2:$I$501,transactions!$C$2:$C$501,P$1,transactions!$B$2:$B$501,"&lt;="&amp;$A14))</f>
        <v/>
      </c>
      <c r="Q14" s="17" t="str">
        <f aca="false">IF($A14="","",SUMIFS(transactions!$I$2:$I$501,transactions!$C$2:$C$501,Q$1,transactions!$B$2:$B$501,"&lt;="&amp;$A14))</f>
        <v/>
      </c>
      <c r="R14" s="17" t="str">
        <f aca="false">IF($A14="","",SUMIFS(transactions!$I$2:$I$501,transactions!$C$2:$C$501,R$1,transactions!$B$2:$B$501,"&lt;="&amp;$A14))</f>
        <v/>
      </c>
      <c r="S14" s="17" t="str">
        <f aca="false">IF($A14="","",SUMIFS(transactions!$I$2:$I$501,transactions!$C$2:$C$501,S$1,transactions!$B$2:$B$501,"&lt;="&amp;$A14))</f>
        <v/>
      </c>
      <c r="T14" s="17" t="str">
        <f aca="false">IF($A14="","",SUMIFS(transactions!$I$2:$I$501,transactions!$C$2:$C$501,T$1,transactions!$B$2:$B$501,"&lt;="&amp;$A14))</f>
        <v/>
      </c>
      <c r="U14" s="17" t="str">
        <f aca="false">IF($A14="","",SUMIFS(transactions!$I$2:$I$501,transactions!$C$2:$C$501,U$1,transactions!$B$2:$B$501,"&lt;="&amp;$A14))</f>
        <v/>
      </c>
      <c r="V14" s="17" t="str">
        <f aca="false">IF($A14="","",SUMIFS(transactions!$I$2:$I$501,transactions!$C$2:$C$501,V$1,transactions!$B$2:$B$501,"&lt;="&amp;$A14))</f>
        <v/>
      </c>
      <c r="W14" s="17" t="str">
        <f aca="false">IF($A14="","",SUMIFS(transactions!$I$2:$I$501,transactions!$C$2:$C$501,W$1,transactions!$B$2:$B$501,"&lt;="&amp;$A14))</f>
        <v/>
      </c>
      <c r="X14" s="17" t="str">
        <f aca="false">IF($A14="","",SUMIFS(transactions!$I$2:$I$501,transactions!$C$2:$C$501,X$1,transactions!$B$2:$B$501,"&lt;="&amp;$A14))</f>
        <v/>
      </c>
      <c r="Y14" s="17" t="str">
        <f aca="false">IF($A14="","",SUMIFS(transactions!$I$2:$I$501,transactions!$C$2:$C$501,Y$1,transactions!$B$2:$B$501,"&lt;="&amp;$A14))</f>
        <v/>
      </c>
      <c r="Z14" s="17" t="str">
        <f aca="false">IF($A14="","",SUMIFS(transactions!$I$2:$I$501,transactions!$C$2:$C$501,Z$1,transactions!$B$2:$B$501,"&lt;="&amp;$A14))</f>
        <v/>
      </c>
      <c r="AA14" s="17" t="str">
        <f aca="false">IF($A14="","",SUMIFS(transactions!$I$2:$I$501,transactions!$C$2:$C$501,AA$1,transactions!$B$2:$B$501,"&lt;="&amp;$A14))</f>
        <v/>
      </c>
      <c r="AB14" s="17" t="str">
        <f aca="false">IF($A14="","",SUMIFS(transactions!$I$2:$I$501,transactions!$C$2:$C$501,AB$1,transactions!$B$2:$B$501,"&lt;="&amp;$A14))</f>
        <v/>
      </c>
      <c r="AC14" s="17" t="str">
        <f aca="false">IF($A14="","",SUMIFS(transactions!$I$2:$I$501,transactions!$C$2:$C$501,AC$1,transactions!$B$2:$B$501,"&lt;="&amp;$A14))</f>
        <v/>
      </c>
      <c r="AD14" s="17" t="str">
        <f aca="false">IF($A14="","",SUMIFS(transactions!$I$2:$I$501,transactions!$C$2:$C$501,AD$1,transactions!$B$2:$B$501,"&lt;="&amp;$A14))</f>
        <v/>
      </c>
      <c r="AE14" s="17" t="str">
        <f aca="false">IF($A14="","",SUMIFS(transactions!$I$2:$I$501,transactions!$C$2:$C$501,AE$1,transactions!$B$2:$B$501,"&lt;="&amp;$A14))</f>
        <v/>
      </c>
      <c r="AF14" s="17" t="str">
        <f aca="false">IF($A14="","",SUMIFS(transactions!$I$2:$I$501,transactions!$C$2:$C$501,AF$1,transactions!$B$2:$B$501,"&lt;="&amp;$A14))</f>
        <v/>
      </c>
      <c r="AG14" s="17" t="str">
        <f aca="false">IF($A14="","",SUMIFS(transactions!$I$2:$I$501,transactions!$C$2:$C$501,AG$1,transactions!$B$2:$B$501,"&lt;="&amp;$A14))</f>
        <v/>
      </c>
      <c r="AH14" s="17" t="str">
        <f aca="false">IF($A14="","",SUMIFS(transactions!$I$2:$I$501,transactions!$C$2:$C$501,AH$1,transactions!$B$2:$B$501,"&lt;="&amp;$A14))</f>
        <v/>
      </c>
      <c r="AI14" s="17" t="str">
        <f aca="false">IF($A14="","",SUMIFS(transactions!$I$2:$I$501,transactions!$C$2:$C$501,AI$1,transactions!$B$2:$B$501,"&lt;="&amp;$A14))</f>
        <v/>
      </c>
      <c r="AJ14" s="17" t="str">
        <f aca="false">IF($A14="","",SUMIFS(transactions!$I$2:$I$501,transactions!$C$2:$C$501,AJ$1,transactions!$B$2:$B$501,"&lt;="&amp;$A14))</f>
        <v/>
      </c>
    </row>
    <row r="15" customFormat="false" ht="15" hidden="false" customHeight="false" outlineLevel="0" collapsed="false">
      <c r="A15" s="20" t="str">
        <f aca="false">IF(prices!A15="","",prices!A15)</f>
        <v/>
      </c>
      <c r="B15" s="17" t="str">
        <f aca="false">IF($A15="","",SUMIFS(transactions!$I$2:$I$501,transactions!$C$2:$C$501,B$1,transactions!$B$2:$B$501,"&lt;="&amp;$A15))</f>
        <v/>
      </c>
      <c r="C15" s="17" t="str">
        <f aca="false">IF($A15="","",SUMIFS(transactions!$I$2:$I$501,transactions!$C$2:$C$501,C$1,transactions!$B$2:$B$501,"&lt;="&amp;$A15))</f>
        <v/>
      </c>
      <c r="D15" s="17" t="str">
        <f aca="false">IF($A15="","",SUMIFS(transactions!$I$2:$I$501,transactions!$C$2:$C$501,D$1,transactions!$B$2:$B$501,"&lt;="&amp;$A15))</f>
        <v/>
      </c>
      <c r="E15" s="17" t="str">
        <f aca="false">IF($A15="","",SUMIFS(transactions!$I$2:$I$501,transactions!$C$2:$C$501,E$1,transactions!$B$2:$B$501,"&lt;="&amp;$A15))</f>
        <v/>
      </c>
      <c r="F15" s="17" t="str">
        <f aca="false">IF($A15="","",SUMIFS(transactions!$I$2:$I$501,transactions!$C$2:$C$501,F$1,transactions!$B$2:$B$501,"&lt;="&amp;$A15))</f>
        <v/>
      </c>
      <c r="G15" s="17" t="str">
        <f aca="false">IF($A15="","",SUMIFS(transactions!$I$2:$I$501,transactions!$C$2:$C$501,G$1,transactions!$B$2:$B$501,"&lt;="&amp;$A15))</f>
        <v/>
      </c>
      <c r="H15" s="17" t="str">
        <f aca="false">IF($A15="","",SUMIFS(transactions!$I$2:$I$501,transactions!$C$2:$C$501,H$1,transactions!$B$2:$B$501,"&lt;="&amp;$A15))</f>
        <v/>
      </c>
      <c r="I15" s="17" t="str">
        <f aca="false">IF($A15="","",SUMIFS(transactions!$I$2:$I$501,transactions!$C$2:$C$501,I$1,transactions!$B$2:$B$501,"&lt;="&amp;$A15))</f>
        <v/>
      </c>
      <c r="J15" s="17" t="str">
        <f aca="false">IF($A15="","",SUMIFS(transactions!$I$2:$I$501,transactions!$C$2:$C$501,J$1,transactions!$B$2:$B$501,"&lt;="&amp;$A15))</f>
        <v/>
      </c>
      <c r="K15" s="17" t="str">
        <f aca="false">IF($A15="","",SUMIFS(transactions!$I$2:$I$501,transactions!$C$2:$C$501,K$1,transactions!$B$2:$B$501,"&lt;="&amp;$A15))</f>
        <v/>
      </c>
      <c r="L15" s="17" t="str">
        <f aca="false">IF($A15="","",SUMIFS(transactions!$I$2:$I$501,transactions!$C$2:$C$501,L$1,transactions!$B$2:$B$501,"&lt;="&amp;$A15))</f>
        <v/>
      </c>
      <c r="M15" s="17" t="str">
        <f aca="false">IF($A15="","",SUMIFS(transactions!$I$2:$I$501,transactions!$C$2:$C$501,M$1,transactions!$B$2:$B$501,"&lt;="&amp;$A15))</f>
        <v/>
      </c>
      <c r="N15" s="17" t="str">
        <f aca="false">IF($A15="","",SUMIFS(transactions!$I$2:$I$501,transactions!$C$2:$C$501,N$1,transactions!$B$2:$B$501,"&lt;="&amp;$A15))</f>
        <v/>
      </c>
      <c r="O15" s="17" t="str">
        <f aca="false">IF($A15="","",SUMIFS(transactions!$I$2:$I$501,transactions!$C$2:$C$501,O$1,transactions!$B$2:$B$501,"&lt;="&amp;$A15))</f>
        <v/>
      </c>
      <c r="P15" s="17" t="str">
        <f aca="false">IF($A15="","",SUMIFS(transactions!$I$2:$I$501,transactions!$C$2:$C$501,P$1,transactions!$B$2:$B$501,"&lt;="&amp;$A15))</f>
        <v/>
      </c>
      <c r="Q15" s="17" t="str">
        <f aca="false">IF($A15="","",SUMIFS(transactions!$I$2:$I$501,transactions!$C$2:$C$501,Q$1,transactions!$B$2:$B$501,"&lt;="&amp;$A15))</f>
        <v/>
      </c>
      <c r="R15" s="17" t="str">
        <f aca="false">IF($A15="","",SUMIFS(transactions!$I$2:$I$501,transactions!$C$2:$C$501,R$1,transactions!$B$2:$B$501,"&lt;="&amp;$A15))</f>
        <v/>
      </c>
      <c r="S15" s="17" t="str">
        <f aca="false">IF($A15="","",SUMIFS(transactions!$I$2:$I$501,transactions!$C$2:$C$501,S$1,transactions!$B$2:$B$501,"&lt;="&amp;$A15))</f>
        <v/>
      </c>
      <c r="T15" s="17" t="str">
        <f aca="false">IF($A15="","",SUMIFS(transactions!$I$2:$I$501,transactions!$C$2:$C$501,T$1,transactions!$B$2:$B$501,"&lt;="&amp;$A15))</f>
        <v/>
      </c>
      <c r="U15" s="17" t="str">
        <f aca="false">IF($A15="","",SUMIFS(transactions!$I$2:$I$501,transactions!$C$2:$C$501,U$1,transactions!$B$2:$B$501,"&lt;="&amp;$A15))</f>
        <v/>
      </c>
      <c r="V15" s="17" t="str">
        <f aca="false">IF($A15="","",SUMIFS(transactions!$I$2:$I$501,transactions!$C$2:$C$501,V$1,transactions!$B$2:$B$501,"&lt;="&amp;$A15))</f>
        <v/>
      </c>
      <c r="W15" s="17" t="str">
        <f aca="false">IF($A15="","",SUMIFS(transactions!$I$2:$I$501,transactions!$C$2:$C$501,W$1,transactions!$B$2:$B$501,"&lt;="&amp;$A15))</f>
        <v/>
      </c>
      <c r="X15" s="17" t="str">
        <f aca="false">IF($A15="","",SUMIFS(transactions!$I$2:$I$501,transactions!$C$2:$C$501,X$1,transactions!$B$2:$B$501,"&lt;="&amp;$A15))</f>
        <v/>
      </c>
      <c r="Y15" s="17" t="str">
        <f aca="false">IF($A15="","",SUMIFS(transactions!$I$2:$I$501,transactions!$C$2:$C$501,Y$1,transactions!$B$2:$B$501,"&lt;="&amp;$A15))</f>
        <v/>
      </c>
      <c r="Z15" s="17" t="str">
        <f aca="false">IF($A15="","",SUMIFS(transactions!$I$2:$I$501,transactions!$C$2:$C$501,Z$1,transactions!$B$2:$B$501,"&lt;="&amp;$A15))</f>
        <v/>
      </c>
      <c r="AA15" s="17" t="str">
        <f aca="false">IF($A15="","",SUMIFS(transactions!$I$2:$I$501,transactions!$C$2:$C$501,AA$1,transactions!$B$2:$B$501,"&lt;="&amp;$A15))</f>
        <v/>
      </c>
      <c r="AB15" s="17" t="str">
        <f aca="false">IF($A15="","",SUMIFS(transactions!$I$2:$I$501,transactions!$C$2:$C$501,AB$1,transactions!$B$2:$B$501,"&lt;="&amp;$A15))</f>
        <v/>
      </c>
      <c r="AC15" s="17" t="str">
        <f aca="false">IF($A15="","",SUMIFS(transactions!$I$2:$I$501,transactions!$C$2:$C$501,AC$1,transactions!$B$2:$B$501,"&lt;="&amp;$A15))</f>
        <v/>
      </c>
      <c r="AD15" s="17" t="str">
        <f aca="false">IF($A15="","",SUMIFS(transactions!$I$2:$I$501,transactions!$C$2:$C$501,AD$1,transactions!$B$2:$B$501,"&lt;="&amp;$A15))</f>
        <v/>
      </c>
      <c r="AE15" s="17" t="str">
        <f aca="false">IF($A15="","",SUMIFS(transactions!$I$2:$I$501,transactions!$C$2:$C$501,AE$1,transactions!$B$2:$B$501,"&lt;="&amp;$A15))</f>
        <v/>
      </c>
      <c r="AF15" s="17" t="str">
        <f aca="false">IF($A15="","",SUMIFS(transactions!$I$2:$I$501,transactions!$C$2:$C$501,AF$1,transactions!$B$2:$B$501,"&lt;="&amp;$A15))</f>
        <v/>
      </c>
      <c r="AG15" s="17" t="str">
        <f aca="false">IF($A15="","",SUMIFS(transactions!$I$2:$I$501,transactions!$C$2:$C$501,AG$1,transactions!$B$2:$B$501,"&lt;="&amp;$A15))</f>
        <v/>
      </c>
      <c r="AH15" s="17" t="str">
        <f aca="false">IF($A15="","",SUMIFS(transactions!$I$2:$I$501,transactions!$C$2:$C$501,AH$1,transactions!$B$2:$B$501,"&lt;="&amp;$A15))</f>
        <v/>
      </c>
      <c r="AI15" s="17" t="str">
        <f aca="false">IF($A15="","",SUMIFS(transactions!$I$2:$I$501,transactions!$C$2:$C$501,AI$1,transactions!$B$2:$B$501,"&lt;="&amp;$A15))</f>
        <v/>
      </c>
      <c r="AJ15" s="17" t="str">
        <f aca="false">IF($A15="","",SUMIFS(transactions!$I$2:$I$501,transactions!$C$2:$C$501,AJ$1,transactions!$B$2:$B$501,"&lt;="&amp;$A15))</f>
        <v/>
      </c>
    </row>
    <row r="16" customFormat="false" ht="15" hidden="false" customHeight="false" outlineLevel="0" collapsed="false">
      <c r="A16" s="20" t="str">
        <f aca="false">IF(prices!A16="","",prices!A16)</f>
        <v/>
      </c>
      <c r="B16" s="17" t="str">
        <f aca="false">IF($A16="","",SUMIFS(transactions!$I$2:$I$501,transactions!$C$2:$C$501,B$1,transactions!$B$2:$B$501,"&lt;="&amp;$A16))</f>
        <v/>
      </c>
      <c r="C16" s="17" t="str">
        <f aca="false">IF($A16="","",SUMIFS(transactions!$I$2:$I$501,transactions!$C$2:$C$501,C$1,transactions!$B$2:$B$501,"&lt;="&amp;$A16))</f>
        <v/>
      </c>
      <c r="D16" s="17" t="str">
        <f aca="false">IF($A16="","",SUMIFS(transactions!$I$2:$I$501,transactions!$C$2:$C$501,D$1,transactions!$B$2:$B$501,"&lt;="&amp;$A16))</f>
        <v/>
      </c>
      <c r="E16" s="17" t="str">
        <f aca="false">IF($A16="","",SUMIFS(transactions!$I$2:$I$501,transactions!$C$2:$C$501,E$1,transactions!$B$2:$B$501,"&lt;="&amp;$A16))</f>
        <v/>
      </c>
      <c r="F16" s="17" t="str">
        <f aca="false">IF($A16="","",SUMIFS(transactions!$I$2:$I$501,transactions!$C$2:$C$501,F$1,transactions!$B$2:$B$501,"&lt;="&amp;$A16))</f>
        <v/>
      </c>
      <c r="G16" s="17" t="str">
        <f aca="false">IF($A16="","",SUMIFS(transactions!$I$2:$I$501,transactions!$C$2:$C$501,G$1,transactions!$B$2:$B$501,"&lt;="&amp;$A16))</f>
        <v/>
      </c>
      <c r="H16" s="17" t="str">
        <f aca="false">IF($A16="","",SUMIFS(transactions!$I$2:$I$501,transactions!$C$2:$C$501,H$1,transactions!$B$2:$B$501,"&lt;="&amp;$A16))</f>
        <v/>
      </c>
      <c r="I16" s="17" t="str">
        <f aca="false">IF($A16="","",SUMIFS(transactions!$I$2:$I$501,transactions!$C$2:$C$501,I$1,transactions!$B$2:$B$501,"&lt;="&amp;$A16))</f>
        <v/>
      </c>
      <c r="J16" s="17" t="str">
        <f aca="false">IF($A16="","",SUMIFS(transactions!$I$2:$I$501,transactions!$C$2:$C$501,J$1,transactions!$B$2:$B$501,"&lt;="&amp;$A16))</f>
        <v/>
      </c>
      <c r="K16" s="17" t="str">
        <f aca="false">IF($A16="","",SUMIFS(transactions!$I$2:$I$501,transactions!$C$2:$C$501,K$1,transactions!$B$2:$B$501,"&lt;="&amp;$A16))</f>
        <v/>
      </c>
      <c r="L16" s="17" t="str">
        <f aca="false">IF($A16="","",SUMIFS(transactions!$I$2:$I$501,transactions!$C$2:$C$501,L$1,transactions!$B$2:$B$501,"&lt;="&amp;$A16))</f>
        <v/>
      </c>
      <c r="M16" s="17" t="str">
        <f aca="false">IF($A16="","",SUMIFS(transactions!$I$2:$I$501,transactions!$C$2:$C$501,M$1,transactions!$B$2:$B$501,"&lt;="&amp;$A16))</f>
        <v/>
      </c>
      <c r="N16" s="17" t="str">
        <f aca="false">IF($A16="","",SUMIFS(transactions!$I$2:$I$501,transactions!$C$2:$C$501,N$1,transactions!$B$2:$B$501,"&lt;="&amp;$A16))</f>
        <v/>
      </c>
      <c r="O16" s="17" t="str">
        <f aca="false">IF($A16="","",SUMIFS(transactions!$I$2:$I$501,transactions!$C$2:$C$501,O$1,transactions!$B$2:$B$501,"&lt;="&amp;$A16))</f>
        <v/>
      </c>
      <c r="P16" s="17" t="str">
        <f aca="false">IF($A16="","",SUMIFS(transactions!$I$2:$I$501,transactions!$C$2:$C$501,P$1,transactions!$B$2:$B$501,"&lt;="&amp;$A16))</f>
        <v/>
      </c>
      <c r="Q16" s="17" t="str">
        <f aca="false">IF($A16="","",SUMIFS(transactions!$I$2:$I$501,transactions!$C$2:$C$501,Q$1,transactions!$B$2:$B$501,"&lt;="&amp;$A16))</f>
        <v/>
      </c>
      <c r="R16" s="17" t="str">
        <f aca="false">IF($A16="","",SUMIFS(transactions!$I$2:$I$501,transactions!$C$2:$C$501,R$1,transactions!$B$2:$B$501,"&lt;="&amp;$A16))</f>
        <v/>
      </c>
      <c r="S16" s="17" t="str">
        <f aca="false">IF($A16="","",SUMIFS(transactions!$I$2:$I$501,transactions!$C$2:$C$501,S$1,transactions!$B$2:$B$501,"&lt;="&amp;$A16))</f>
        <v/>
      </c>
      <c r="T16" s="17" t="str">
        <f aca="false">IF($A16="","",SUMIFS(transactions!$I$2:$I$501,transactions!$C$2:$C$501,T$1,transactions!$B$2:$B$501,"&lt;="&amp;$A16))</f>
        <v/>
      </c>
      <c r="U16" s="17" t="str">
        <f aca="false">IF($A16="","",SUMIFS(transactions!$I$2:$I$501,transactions!$C$2:$C$501,U$1,transactions!$B$2:$B$501,"&lt;="&amp;$A16))</f>
        <v/>
      </c>
      <c r="V16" s="17" t="str">
        <f aca="false">IF($A16="","",SUMIFS(transactions!$I$2:$I$501,transactions!$C$2:$C$501,V$1,transactions!$B$2:$B$501,"&lt;="&amp;$A16))</f>
        <v/>
      </c>
      <c r="W16" s="17" t="str">
        <f aca="false">IF($A16="","",SUMIFS(transactions!$I$2:$I$501,transactions!$C$2:$C$501,W$1,transactions!$B$2:$B$501,"&lt;="&amp;$A16))</f>
        <v/>
      </c>
      <c r="X16" s="17" t="str">
        <f aca="false">IF($A16="","",SUMIFS(transactions!$I$2:$I$501,transactions!$C$2:$C$501,X$1,transactions!$B$2:$B$501,"&lt;="&amp;$A16))</f>
        <v/>
      </c>
      <c r="Y16" s="17" t="str">
        <f aca="false">IF($A16="","",SUMIFS(transactions!$I$2:$I$501,transactions!$C$2:$C$501,Y$1,transactions!$B$2:$B$501,"&lt;="&amp;$A16))</f>
        <v/>
      </c>
      <c r="Z16" s="17" t="str">
        <f aca="false">IF($A16="","",SUMIFS(transactions!$I$2:$I$501,transactions!$C$2:$C$501,Z$1,transactions!$B$2:$B$501,"&lt;="&amp;$A16))</f>
        <v/>
      </c>
      <c r="AA16" s="17" t="str">
        <f aca="false">IF($A16="","",SUMIFS(transactions!$I$2:$I$501,transactions!$C$2:$C$501,AA$1,transactions!$B$2:$B$501,"&lt;="&amp;$A16))</f>
        <v/>
      </c>
      <c r="AB16" s="17" t="str">
        <f aca="false">IF($A16="","",SUMIFS(transactions!$I$2:$I$501,transactions!$C$2:$C$501,AB$1,transactions!$B$2:$B$501,"&lt;="&amp;$A16))</f>
        <v/>
      </c>
      <c r="AC16" s="17" t="str">
        <f aca="false">IF($A16="","",SUMIFS(transactions!$I$2:$I$501,transactions!$C$2:$C$501,AC$1,transactions!$B$2:$B$501,"&lt;="&amp;$A16))</f>
        <v/>
      </c>
      <c r="AD16" s="17" t="str">
        <f aca="false">IF($A16="","",SUMIFS(transactions!$I$2:$I$501,transactions!$C$2:$C$501,AD$1,transactions!$B$2:$B$501,"&lt;="&amp;$A16))</f>
        <v/>
      </c>
      <c r="AE16" s="17" t="str">
        <f aca="false">IF($A16="","",SUMIFS(transactions!$I$2:$I$501,transactions!$C$2:$C$501,AE$1,transactions!$B$2:$B$501,"&lt;="&amp;$A16))</f>
        <v/>
      </c>
      <c r="AF16" s="17" t="str">
        <f aca="false">IF($A16="","",SUMIFS(transactions!$I$2:$I$501,transactions!$C$2:$C$501,AF$1,transactions!$B$2:$B$501,"&lt;="&amp;$A16))</f>
        <v/>
      </c>
      <c r="AG16" s="17" t="str">
        <f aca="false">IF($A16="","",SUMIFS(transactions!$I$2:$I$501,transactions!$C$2:$C$501,AG$1,transactions!$B$2:$B$501,"&lt;="&amp;$A16))</f>
        <v/>
      </c>
      <c r="AH16" s="17" t="str">
        <f aca="false">IF($A16="","",SUMIFS(transactions!$I$2:$I$501,transactions!$C$2:$C$501,AH$1,transactions!$B$2:$B$501,"&lt;="&amp;$A16))</f>
        <v/>
      </c>
      <c r="AI16" s="17" t="str">
        <f aca="false">IF($A16="","",SUMIFS(transactions!$I$2:$I$501,transactions!$C$2:$C$501,AI$1,transactions!$B$2:$B$501,"&lt;="&amp;$A16))</f>
        <v/>
      </c>
      <c r="AJ16" s="17" t="str">
        <f aca="false">IF($A16="","",SUMIFS(transactions!$I$2:$I$501,transactions!$C$2:$C$501,AJ$1,transactions!$B$2:$B$501,"&lt;="&amp;$A16))</f>
        <v/>
      </c>
    </row>
    <row r="17" customFormat="false" ht="15" hidden="false" customHeight="false" outlineLevel="0" collapsed="false">
      <c r="A17" s="20" t="str">
        <f aca="false">IF(prices!A17="","",prices!A17)</f>
        <v/>
      </c>
      <c r="B17" s="17" t="str">
        <f aca="false">IF($A17="","",SUMIFS(transactions!$I$2:$I$501,transactions!$C$2:$C$501,B$1,transactions!$B$2:$B$501,"&lt;="&amp;$A17))</f>
        <v/>
      </c>
      <c r="C17" s="17" t="str">
        <f aca="false">IF($A17="","",SUMIFS(transactions!$I$2:$I$501,transactions!$C$2:$C$501,C$1,transactions!$B$2:$B$501,"&lt;="&amp;$A17))</f>
        <v/>
      </c>
      <c r="D17" s="17" t="str">
        <f aca="false">IF($A17="","",SUMIFS(transactions!$I$2:$I$501,transactions!$C$2:$C$501,D$1,transactions!$B$2:$B$501,"&lt;="&amp;$A17))</f>
        <v/>
      </c>
      <c r="E17" s="17" t="str">
        <f aca="false">IF($A17="","",SUMIFS(transactions!$I$2:$I$501,transactions!$C$2:$C$501,E$1,transactions!$B$2:$B$501,"&lt;="&amp;$A17))</f>
        <v/>
      </c>
      <c r="F17" s="17" t="str">
        <f aca="false">IF($A17="","",SUMIFS(transactions!$I$2:$I$501,transactions!$C$2:$C$501,F$1,transactions!$B$2:$B$501,"&lt;="&amp;$A17))</f>
        <v/>
      </c>
      <c r="G17" s="17" t="str">
        <f aca="false">IF($A17="","",SUMIFS(transactions!$I$2:$I$501,transactions!$C$2:$C$501,G$1,transactions!$B$2:$B$501,"&lt;="&amp;$A17))</f>
        <v/>
      </c>
      <c r="H17" s="17" t="str">
        <f aca="false">IF($A17="","",SUMIFS(transactions!$I$2:$I$501,transactions!$C$2:$C$501,H$1,transactions!$B$2:$B$501,"&lt;="&amp;$A17))</f>
        <v/>
      </c>
      <c r="I17" s="17" t="str">
        <f aca="false">IF($A17="","",SUMIFS(transactions!$I$2:$I$501,transactions!$C$2:$C$501,I$1,transactions!$B$2:$B$501,"&lt;="&amp;$A17))</f>
        <v/>
      </c>
      <c r="J17" s="17" t="str">
        <f aca="false">IF($A17="","",SUMIFS(transactions!$I$2:$I$501,transactions!$C$2:$C$501,J$1,transactions!$B$2:$B$501,"&lt;="&amp;$A17))</f>
        <v/>
      </c>
      <c r="K17" s="17" t="str">
        <f aca="false">IF($A17="","",SUMIFS(transactions!$I$2:$I$501,transactions!$C$2:$C$501,K$1,transactions!$B$2:$B$501,"&lt;="&amp;$A17))</f>
        <v/>
      </c>
      <c r="L17" s="17" t="str">
        <f aca="false">IF($A17="","",SUMIFS(transactions!$I$2:$I$501,transactions!$C$2:$C$501,L$1,transactions!$B$2:$B$501,"&lt;="&amp;$A17))</f>
        <v/>
      </c>
      <c r="M17" s="17" t="str">
        <f aca="false">IF($A17="","",SUMIFS(transactions!$I$2:$I$501,transactions!$C$2:$C$501,M$1,transactions!$B$2:$B$501,"&lt;="&amp;$A17))</f>
        <v/>
      </c>
      <c r="N17" s="17" t="str">
        <f aca="false">IF($A17="","",SUMIFS(transactions!$I$2:$I$501,transactions!$C$2:$C$501,N$1,transactions!$B$2:$B$501,"&lt;="&amp;$A17))</f>
        <v/>
      </c>
      <c r="O17" s="17" t="str">
        <f aca="false">IF($A17="","",SUMIFS(transactions!$I$2:$I$501,transactions!$C$2:$C$501,O$1,transactions!$B$2:$B$501,"&lt;="&amp;$A17))</f>
        <v/>
      </c>
      <c r="P17" s="17" t="str">
        <f aca="false">IF($A17="","",SUMIFS(transactions!$I$2:$I$501,transactions!$C$2:$C$501,P$1,transactions!$B$2:$B$501,"&lt;="&amp;$A17))</f>
        <v/>
      </c>
      <c r="Q17" s="17" t="str">
        <f aca="false">IF($A17="","",SUMIFS(transactions!$I$2:$I$501,transactions!$C$2:$C$501,Q$1,transactions!$B$2:$B$501,"&lt;="&amp;$A17))</f>
        <v/>
      </c>
      <c r="R17" s="17" t="str">
        <f aca="false">IF($A17="","",SUMIFS(transactions!$I$2:$I$501,transactions!$C$2:$C$501,R$1,transactions!$B$2:$B$501,"&lt;="&amp;$A17))</f>
        <v/>
      </c>
      <c r="S17" s="17" t="str">
        <f aca="false">IF($A17="","",SUMIFS(transactions!$I$2:$I$501,transactions!$C$2:$C$501,S$1,transactions!$B$2:$B$501,"&lt;="&amp;$A17))</f>
        <v/>
      </c>
      <c r="T17" s="17" t="str">
        <f aca="false">IF($A17="","",SUMIFS(transactions!$I$2:$I$501,transactions!$C$2:$C$501,T$1,transactions!$B$2:$B$501,"&lt;="&amp;$A17))</f>
        <v/>
      </c>
      <c r="U17" s="17" t="str">
        <f aca="false">IF($A17="","",SUMIFS(transactions!$I$2:$I$501,transactions!$C$2:$C$501,U$1,transactions!$B$2:$B$501,"&lt;="&amp;$A17))</f>
        <v/>
      </c>
      <c r="V17" s="17" t="str">
        <f aca="false">IF($A17="","",SUMIFS(transactions!$I$2:$I$501,transactions!$C$2:$C$501,V$1,transactions!$B$2:$B$501,"&lt;="&amp;$A17))</f>
        <v/>
      </c>
      <c r="W17" s="17" t="str">
        <f aca="false">IF($A17="","",SUMIFS(transactions!$I$2:$I$501,transactions!$C$2:$C$501,W$1,transactions!$B$2:$B$501,"&lt;="&amp;$A17))</f>
        <v/>
      </c>
      <c r="X17" s="17" t="str">
        <f aca="false">IF($A17="","",SUMIFS(transactions!$I$2:$I$501,transactions!$C$2:$C$501,X$1,transactions!$B$2:$B$501,"&lt;="&amp;$A17))</f>
        <v/>
      </c>
      <c r="Y17" s="17" t="str">
        <f aca="false">IF($A17="","",SUMIFS(transactions!$I$2:$I$501,transactions!$C$2:$C$501,Y$1,transactions!$B$2:$B$501,"&lt;="&amp;$A17))</f>
        <v/>
      </c>
      <c r="Z17" s="17" t="str">
        <f aca="false">IF($A17="","",SUMIFS(transactions!$I$2:$I$501,transactions!$C$2:$C$501,Z$1,transactions!$B$2:$B$501,"&lt;="&amp;$A17))</f>
        <v/>
      </c>
      <c r="AA17" s="17" t="str">
        <f aca="false">IF($A17="","",SUMIFS(transactions!$I$2:$I$501,transactions!$C$2:$C$501,AA$1,transactions!$B$2:$B$501,"&lt;="&amp;$A17))</f>
        <v/>
      </c>
      <c r="AB17" s="17" t="str">
        <f aca="false">IF($A17="","",SUMIFS(transactions!$I$2:$I$501,transactions!$C$2:$C$501,AB$1,transactions!$B$2:$B$501,"&lt;="&amp;$A17))</f>
        <v/>
      </c>
      <c r="AC17" s="17" t="str">
        <f aca="false">IF($A17="","",SUMIFS(transactions!$I$2:$I$501,transactions!$C$2:$C$501,AC$1,transactions!$B$2:$B$501,"&lt;="&amp;$A17))</f>
        <v/>
      </c>
      <c r="AD17" s="17" t="str">
        <f aca="false">IF($A17="","",SUMIFS(transactions!$I$2:$I$501,transactions!$C$2:$C$501,AD$1,transactions!$B$2:$B$501,"&lt;="&amp;$A17))</f>
        <v/>
      </c>
      <c r="AE17" s="17" t="str">
        <f aca="false">IF($A17="","",SUMIFS(transactions!$I$2:$I$501,transactions!$C$2:$C$501,AE$1,transactions!$B$2:$B$501,"&lt;="&amp;$A17))</f>
        <v/>
      </c>
      <c r="AF17" s="17" t="str">
        <f aca="false">IF($A17="","",SUMIFS(transactions!$I$2:$I$501,transactions!$C$2:$C$501,AF$1,transactions!$B$2:$B$501,"&lt;="&amp;$A17))</f>
        <v/>
      </c>
      <c r="AG17" s="17" t="str">
        <f aca="false">IF($A17="","",SUMIFS(transactions!$I$2:$I$501,transactions!$C$2:$C$501,AG$1,transactions!$B$2:$B$501,"&lt;="&amp;$A17))</f>
        <v/>
      </c>
      <c r="AH17" s="17" t="str">
        <f aca="false">IF($A17="","",SUMIFS(transactions!$I$2:$I$501,transactions!$C$2:$C$501,AH$1,transactions!$B$2:$B$501,"&lt;="&amp;$A17))</f>
        <v/>
      </c>
      <c r="AI17" s="17" t="str">
        <f aca="false">IF($A17="","",SUMIFS(transactions!$I$2:$I$501,transactions!$C$2:$C$501,AI$1,transactions!$B$2:$B$501,"&lt;="&amp;$A17))</f>
        <v/>
      </c>
      <c r="AJ17" s="17" t="str">
        <f aca="false">IF($A17="","",SUMIFS(transactions!$I$2:$I$501,transactions!$C$2:$C$501,AJ$1,transactions!$B$2:$B$501,"&lt;="&amp;$A17))</f>
        <v/>
      </c>
    </row>
    <row r="18" customFormat="false" ht="15" hidden="false" customHeight="false" outlineLevel="0" collapsed="false">
      <c r="A18" s="20" t="str">
        <f aca="false">IF(prices!A18="","",prices!A18)</f>
        <v/>
      </c>
      <c r="B18" s="17" t="str">
        <f aca="false">IF($A18="","",SUMIFS(transactions!$I$2:$I$501,transactions!$C$2:$C$501,B$1,transactions!$B$2:$B$501,"&lt;="&amp;$A18))</f>
        <v/>
      </c>
      <c r="C18" s="17" t="str">
        <f aca="false">IF($A18="","",SUMIFS(transactions!$I$2:$I$501,transactions!$C$2:$C$501,C$1,transactions!$B$2:$B$501,"&lt;="&amp;$A18))</f>
        <v/>
      </c>
      <c r="D18" s="17" t="str">
        <f aca="false">IF($A18="","",SUMIFS(transactions!$I$2:$I$501,transactions!$C$2:$C$501,D$1,transactions!$B$2:$B$501,"&lt;="&amp;$A18))</f>
        <v/>
      </c>
      <c r="E18" s="17" t="str">
        <f aca="false">IF($A18="","",SUMIFS(transactions!$I$2:$I$501,transactions!$C$2:$C$501,E$1,transactions!$B$2:$B$501,"&lt;="&amp;$A18))</f>
        <v/>
      </c>
      <c r="F18" s="17" t="str">
        <f aca="false">IF($A18="","",SUMIFS(transactions!$I$2:$I$501,transactions!$C$2:$C$501,F$1,transactions!$B$2:$B$501,"&lt;="&amp;$A18))</f>
        <v/>
      </c>
      <c r="G18" s="17" t="str">
        <f aca="false">IF($A18="","",SUMIFS(transactions!$I$2:$I$501,transactions!$C$2:$C$501,G$1,transactions!$B$2:$B$501,"&lt;="&amp;$A18))</f>
        <v/>
      </c>
      <c r="H18" s="17" t="str">
        <f aca="false">IF($A18="","",SUMIFS(transactions!$I$2:$I$501,transactions!$C$2:$C$501,H$1,transactions!$B$2:$B$501,"&lt;="&amp;$A18))</f>
        <v/>
      </c>
      <c r="I18" s="17" t="str">
        <f aca="false">IF($A18="","",SUMIFS(transactions!$I$2:$I$501,transactions!$C$2:$C$501,I$1,transactions!$B$2:$B$501,"&lt;="&amp;$A18))</f>
        <v/>
      </c>
      <c r="J18" s="17" t="str">
        <f aca="false">IF($A18="","",SUMIFS(transactions!$I$2:$I$501,transactions!$C$2:$C$501,J$1,transactions!$B$2:$B$501,"&lt;="&amp;$A18))</f>
        <v/>
      </c>
      <c r="K18" s="17" t="str">
        <f aca="false">IF($A18="","",SUMIFS(transactions!$I$2:$I$501,transactions!$C$2:$C$501,K$1,transactions!$B$2:$B$501,"&lt;="&amp;$A18))</f>
        <v/>
      </c>
      <c r="L18" s="17" t="str">
        <f aca="false">IF($A18="","",SUMIFS(transactions!$I$2:$I$501,transactions!$C$2:$C$501,L$1,transactions!$B$2:$B$501,"&lt;="&amp;$A18))</f>
        <v/>
      </c>
      <c r="M18" s="17" t="str">
        <f aca="false">IF($A18="","",SUMIFS(transactions!$I$2:$I$501,transactions!$C$2:$C$501,M$1,transactions!$B$2:$B$501,"&lt;="&amp;$A18))</f>
        <v/>
      </c>
      <c r="N18" s="17" t="str">
        <f aca="false">IF($A18="","",SUMIFS(transactions!$I$2:$I$501,transactions!$C$2:$C$501,N$1,transactions!$B$2:$B$501,"&lt;="&amp;$A18))</f>
        <v/>
      </c>
      <c r="O18" s="17" t="str">
        <f aca="false">IF($A18="","",SUMIFS(transactions!$I$2:$I$501,transactions!$C$2:$C$501,O$1,transactions!$B$2:$B$501,"&lt;="&amp;$A18))</f>
        <v/>
      </c>
      <c r="P18" s="17" t="str">
        <f aca="false">IF($A18="","",SUMIFS(transactions!$I$2:$I$501,transactions!$C$2:$C$501,P$1,transactions!$B$2:$B$501,"&lt;="&amp;$A18))</f>
        <v/>
      </c>
      <c r="Q18" s="17" t="str">
        <f aca="false">IF($A18="","",SUMIFS(transactions!$I$2:$I$501,transactions!$C$2:$C$501,Q$1,transactions!$B$2:$B$501,"&lt;="&amp;$A18))</f>
        <v/>
      </c>
      <c r="R18" s="17" t="str">
        <f aca="false">IF($A18="","",SUMIFS(transactions!$I$2:$I$501,transactions!$C$2:$C$501,R$1,transactions!$B$2:$B$501,"&lt;="&amp;$A18))</f>
        <v/>
      </c>
      <c r="S18" s="17" t="str">
        <f aca="false">IF($A18="","",SUMIFS(transactions!$I$2:$I$501,transactions!$C$2:$C$501,S$1,transactions!$B$2:$B$501,"&lt;="&amp;$A18))</f>
        <v/>
      </c>
      <c r="T18" s="17" t="str">
        <f aca="false">IF($A18="","",SUMIFS(transactions!$I$2:$I$501,transactions!$C$2:$C$501,T$1,transactions!$B$2:$B$501,"&lt;="&amp;$A18))</f>
        <v/>
      </c>
      <c r="U18" s="17" t="str">
        <f aca="false">IF($A18="","",SUMIFS(transactions!$I$2:$I$501,transactions!$C$2:$C$501,U$1,transactions!$B$2:$B$501,"&lt;="&amp;$A18))</f>
        <v/>
      </c>
      <c r="V18" s="17" t="str">
        <f aca="false">IF($A18="","",SUMIFS(transactions!$I$2:$I$501,transactions!$C$2:$C$501,V$1,transactions!$B$2:$B$501,"&lt;="&amp;$A18))</f>
        <v/>
      </c>
      <c r="W18" s="17" t="str">
        <f aca="false">IF($A18="","",SUMIFS(transactions!$I$2:$I$501,transactions!$C$2:$C$501,W$1,transactions!$B$2:$B$501,"&lt;="&amp;$A18))</f>
        <v/>
      </c>
      <c r="X18" s="17" t="str">
        <f aca="false">IF($A18="","",SUMIFS(transactions!$I$2:$I$501,transactions!$C$2:$C$501,X$1,transactions!$B$2:$B$501,"&lt;="&amp;$A18))</f>
        <v/>
      </c>
      <c r="Y18" s="17" t="str">
        <f aca="false">IF($A18="","",SUMIFS(transactions!$I$2:$I$501,transactions!$C$2:$C$501,Y$1,transactions!$B$2:$B$501,"&lt;="&amp;$A18))</f>
        <v/>
      </c>
      <c r="Z18" s="17" t="str">
        <f aca="false">IF($A18="","",SUMIFS(transactions!$I$2:$I$501,transactions!$C$2:$C$501,Z$1,transactions!$B$2:$B$501,"&lt;="&amp;$A18))</f>
        <v/>
      </c>
      <c r="AA18" s="17" t="str">
        <f aca="false">IF($A18="","",SUMIFS(transactions!$I$2:$I$501,transactions!$C$2:$C$501,AA$1,transactions!$B$2:$B$501,"&lt;="&amp;$A18))</f>
        <v/>
      </c>
      <c r="AB18" s="17" t="str">
        <f aca="false">IF($A18="","",SUMIFS(transactions!$I$2:$I$501,transactions!$C$2:$C$501,AB$1,transactions!$B$2:$B$501,"&lt;="&amp;$A18))</f>
        <v/>
      </c>
      <c r="AC18" s="17" t="str">
        <f aca="false">IF($A18="","",SUMIFS(transactions!$I$2:$I$501,transactions!$C$2:$C$501,AC$1,transactions!$B$2:$B$501,"&lt;="&amp;$A18))</f>
        <v/>
      </c>
      <c r="AD18" s="17" t="str">
        <f aca="false">IF($A18="","",SUMIFS(transactions!$I$2:$I$501,transactions!$C$2:$C$501,AD$1,transactions!$B$2:$B$501,"&lt;="&amp;$A18))</f>
        <v/>
      </c>
      <c r="AE18" s="17" t="str">
        <f aca="false">IF($A18="","",SUMIFS(transactions!$I$2:$I$501,transactions!$C$2:$C$501,AE$1,transactions!$B$2:$B$501,"&lt;="&amp;$A18))</f>
        <v/>
      </c>
      <c r="AF18" s="17" t="str">
        <f aca="false">IF($A18="","",SUMIFS(transactions!$I$2:$I$501,transactions!$C$2:$C$501,AF$1,transactions!$B$2:$B$501,"&lt;="&amp;$A18))</f>
        <v/>
      </c>
      <c r="AG18" s="17" t="str">
        <f aca="false">IF($A18="","",SUMIFS(transactions!$I$2:$I$501,transactions!$C$2:$C$501,AG$1,transactions!$B$2:$B$501,"&lt;="&amp;$A18))</f>
        <v/>
      </c>
      <c r="AH18" s="17" t="str">
        <f aca="false">IF($A18="","",SUMIFS(transactions!$I$2:$I$501,transactions!$C$2:$C$501,AH$1,transactions!$B$2:$B$501,"&lt;="&amp;$A18))</f>
        <v/>
      </c>
      <c r="AI18" s="17" t="str">
        <f aca="false">IF($A18="","",SUMIFS(transactions!$I$2:$I$501,transactions!$C$2:$C$501,AI$1,transactions!$B$2:$B$501,"&lt;="&amp;$A18))</f>
        <v/>
      </c>
      <c r="AJ18" s="17" t="str">
        <f aca="false">IF($A18="","",SUMIFS(transactions!$I$2:$I$501,transactions!$C$2:$C$501,AJ$1,transactions!$B$2:$B$501,"&lt;="&amp;$A18))</f>
        <v/>
      </c>
    </row>
    <row r="19" customFormat="false" ht="15" hidden="false" customHeight="false" outlineLevel="0" collapsed="false">
      <c r="A19" s="20" t="str">
        <f aca="false">IF(prices!A19="","",prices!A19)</f>
        <v/>
      </c>
      <c r="B19" s="17" t="str">
        <f aca="false">IF($A19="","",SUMIFS(transactions!$I$2:$I$501,transactions!$C$2:$C$501,B$1,transactions!$B$2:$B$501,"&lt;="&amp;$A19))</f>
        <v/>
      </c>
      <c r="C19" s="17" t="str">
        <f aca="false">IF($A19="","",SUMIFS(transactions!$I$2:$I$501,transactions!$C$2:$C$501,C$1,transactions!$B$2:$B$501,"&lt;="&amp;$A19))</f>
        <v/>
      </c>
      <c r="D19" s="17" t="str">
        <f aca="false">IF($A19="","",SUMIFS(transactions!$I$2:$I$501,transactions!$C$2:$C$501,D$1,transactions!$B$2:$B$501,"&lt;="&amp;$A19))</f>
        <v/>
      </c>
      <c r="E19" s="17" t="str">
        <f aca="false">IF($A19="","",SUMIFS(transactions!$I$2:$I$501,transactions!$C$2:$C$501,E$1,transactions!$B$2:$B$501,"&lt;="&amp;$A19))</f>
        <v/>
      </c>
      <c r="F19" s="17" t="str">
        <f aca="false">IF($A19="","",SUMIFS(transactions!$I$2:$I$501,transactions!$C$2:$C$501,F$1,transactions!$B$2:$B$501,"&lt;="&amp;$A19))</f>
        <v/>
      </c>
      <c r="G19" s="17" t="str">
        <f aca="false">IF($A19="","",SUMIFS(transactions!$I$2:$I$501,transactions!$C$2:$C$501,G$1,transactions!$B$2:$B$501,"&lt;="&amp;$A19))</f>
        <v/>
      </c>
      <c r="H19" s="17" t="str">
        <f aca="false">IF($A19="","",SUMIFS(transactions!$I$2:$I$501,transactions!$C$2:$C$501,H$1,transactions!$B$2:$B$501,"&lt;="&amp;$A19))</f>
        <v/>
      </c>
      <c r="I19" s="17" t="str">
        <f aca="false">IF($A19="","",SUMIFS(transactions!$I$2:$I$501,transactions!$C$2:$C$501,I$1,transactions!$B$2:$B$501,"&lt;="&amp;$A19))</f>
        <v/>
      </c>
      <c r="J19" s="17" t="str">
        <f aca="false">IF($A19="","",SUMIFS(transactions!$I$2:$I$501,transactions!$C$2:$C$501,J$1,transactions!$B$2:$B$501,"&lt;="&amp;$A19))</f>
        <v/>
      </c>
      <c r="K19" s="17" t="str">
        <f aca="false">IF($A19="","",SUMIFS(transactions!$I$2:$I$501,transactions!$C$2:$C$501,K$1,transactions!$B$2:$B$501,"&lt;="&amp;$A19))</f>
        <v/>
      </c>
      <c r="L19" s="17" t="str">
        <f aca="false">IF($A19="","",SUMIFS(transactions!$I$2:$I$501,transactions!$C$2:$C$501,L$1,transactions!$B$2:$B$501,"&lt;="&amp;$A19))</f>
        <v/>
      </c>
      <c r="M19" s="17" t="str">
        <f aca="false">IF($A19="","",SUMIFS(transactions!$I$2:$I$501,transactions!$C$2:$C$501,M$1,transactions!$B$2:$B$501,"&lt;="&amp;$A19))</f>
        <v/>
      </c>
      <c r="N19" s="17" t="str">
        <f aca="false">IF($A19="","",SUMIFS(transactions!$I$2:$I$501,transactions!$C$2:$C$501,N$1,transactions!$B$2:$B$501,"&lt;="&amp;$A19))</f>
        <v/>
      </c>
      <c r="O19" s="17" t="str">
        <f aca="false">IF($A19="","",SUMIFS(transactions!$I$2:$I$501,transactions!$C$2:$C$501,O$1,transactions!$B$2:$B$501,"&lt;="&amp;$A19))</f>
        <v/>
      </c>
      <c r="P19" s="17" t="str">
        <f aca="false">IF($A19="","",SUMIFS(transactions!$I$2:$I$501,transactions!$C$2:$C$501,P$1,transactions!$B$2:$B$501,"&lt;="&amp;$A19))</f>
        <v/>
      </c>
      <c r="Q19" s="17" t="str">
        <f aca="false">IF($A19="","",SUMIFS(transactions!$I$2:$I$501,transactions!$C$2:$C$501,Q$1,transactions!$B$2:$B$501,"&lt;="&amp;$A19))</f>
        <v/>
      </c>
      <c r="R19" s="17" t="str">
        <f aca="false">IF($A19="","",SUMIFS(transactions!$I$2:$I$501,transactions!$C$2:$C$501,R$1,transactions!$B$2:$B$501,"&lt;="&amp;$A19))</f>
        <v/>
      </c>
      <c r="S19" s="17" t="str">
        <f aca="false">IF($A19="","",SUMIFS(transactions!$I$2:$I$501,transactions!$C$2:$C$501,S$1,transactions!$B$2:$B$501,"&lt;="&amp;$A19))</f>
        <v/>
      </c>
      <c r="T19" s="17" t="str">
        <f aca="false">IF($A19="","",SUMIFS(transactions!$I$2:$I$501,transactions!$C$2:$C$501,T$1,transactions!$B$2:$B$501,"&lt;="&amp;$A19))</f>
        <v/>
      </c>
      <c r="U19" s="17" t="str">
        <f aca="false">IF($A19="","",SUMIFS(transactions!$I$2:$I$501,transactions!$C$2:$C$501,U$1,transactions!$B$2:$B$501,"&lt;="&amp;$A19))</f>
        <v/>
      </c>
      <c r="V19" s="17" t="str">
        <f aca="false">IF($A19="","",SUMIFS(transactions!$I$2:$I$501,transactions!$C$2:$C$501,V$1,transactions!$B$2:$B$501,"&lt;="&amp;$A19))</f>
        <v/>
      </c>
      <c r="W19" s="17" t="str">
        <f aca="false">IF($A19="","",SUMIFS(transactions!$I$2:$I$501,transactions!$C$2:$C$501,W$1,transactions!$B$2:$B$501,"&lt;="&amp;$A19))</f>
        <v/>
      </c>
      <c r="X19" s="17" t="str">
        <f aca="false">IF($A19="","",SUMIFS(transactions!$I$2:$I$501,transactions!$C$2:$C$501,X$1,transactions!$B$2:$B$501,"&lt;="&amp;$A19))</f>
        <v/>
      </c>
      <c r="Y19" s="17" t="str">
        <f aca="false">IF($A19="","",SUMIFS(transactions!$I$2:$I$501,transactions!$C$2:$C$501,Y$1,transactions!$B$2:$B$501,"&lt;="&amp;$A19))</f>
        <v/>
      </c>
      <c r="Z19" s="17" t="str">
        <f aca="false">IF($A19="","",SUMIFS(transactions!$I$2:$I$501,transactions!$C$2:$C$501,Z$1,transactions!$B$2:$B$501,"&lt;="&amp;$A19))</f>
        <v/>
      </c>
      <c r="AA19" s="17" t="str">
        <f aca="false">IF($A19="","",SUMIFS(transactions!$I$2:$I$501,transactions!$C$2:$C$501,AA$1,transactions!$B$2:$B$501,"&lt;="&amp;$A19))</f>
        <v/>
      </c>
      <c r="AB19" s="17" t="str">
        <f aca="false">IF($A19="","",SUMIFS(transactions!$I$2:$I$501,transactions!$C$2:$C$501,AB$1,transactions!$B$2:$B$501,"&lt;="&amp;$A19))</f>
        <v/>
      </c>
      <c r="AC19" s="17" t="str">
        <f aca="false">IF($A19="","",SUMIFS(transactions!$I$2:$I$501,transactions!$C$2:$C$501,AC$1,transactions!$B$2:$B$501,"&lt;="&amp;$A19))</f>
        <v/>
      </c>
      <c r="AD19" s="17" t="str">
        <f aca="false">IF($A19="","",SUMIFS(transactions!$I$2:$I$501,transactions!$C$2:$C$501,AD$1,transactions!$B$2:$B$501,"&lt;="&amp;$A19))</f>
        <v/>
      </c>
      <c r="AE19" s="17" t="str">
        <f aca="false">IF($A19="","",SUMIFS(transactions!$I$2:$I$501,transactions!$C$2:$C$501,AE$1,transactions!$B$2:$B$501,"&lt;="&amp;$A19))</f>
        <v/>
      </c>
      <c r="AF19" s="17" t="str">
        <f aca="false">IF($A19="","",SUMIFS(transactions!$I$2:$I$501,transactions!$C$2:$C$501,AF$1,transactions!$B$2:$B$501,"&lt;="&amp;$A19))</f>
        <v/>
      </c>
      <c r="AG19" s="17" t="str">
        <f aca="false">IF($A19="","",SUMIFS(transactions!$I$2:$I$501,transactions!$C$2:$C$501,AG$1,transactions!$B$2:$B$501,"&lt;="&amp;$A19))</f>
        <v/>
      </c>
      <c r="AH19" s="17" t="str">
        <f aca="false">IF($A19="","",SUMIFS(transactions!$I$2:$I$501,transactions!$C$2:$C$501,AH$1,transactions!$B$2:$B$501,"&lt;="&amp;$A19))</f>
        <v/>
      </c>
      <c r="AI19" s="17" t="str">
        <f aca="false">IF($A19="","",SUMIFS(transactions!$I$2:$I$501,transactions!$C$2:$C$501,AI$1,transactions!$B$2:$B$501,"&lt;="&amp;$A19))</f>
        <v/>
      </c>
      <c r="AJ19" s="17" t="str">
        <f aca="false">IF($A19="","",SUMIFS(transactions!$I$2:$I$501,transactions!$C$2:$C$501,AJ$1,transactions!$B$2:$B$501,"&lt;="&amp;$A19))</f>
        <v/>
      </c>
    </row>
    <row r="20" customFormat="false" ht="15" hidden="false" customHeight="false" outlineLevel="0" collapsed="false">
      <c r="A20" s="20" t="str">
        <f aca="false">IF(prices!A20="","",prices!A20)</f>
        <v/>
      </c>
      <c r="B20" s="17" t="str">
        <f aca="false">IF($A20="","",SUMIFS(transactions!$I$2:$I$501,transactions!$C$2:$C$501,B$1,transactions!$B$2:$B$501,"&lt;="&amp;$A20))</f>
        <v/>
      </c>
      <c r="C20" s="17" t="str">
        <f aca="false">IF($A20="","",SUMIFS(transactions!$I$2:$I$501,transactions!$C$2:$C$501,C$1,transactions!$B$2:$B$501,"&lt;="&amp;$A20))</f>
        <v/>
      </c>
      <c r="D20" s="17" t="str">
        <f aca="false">IF($A20="","",SUMIFS(transactions!$I$2:$I$501,transactions!$C$2:$C$501,D$1,transactions!$B$2:$B$501,"&lt;="&amp;$A20))</f>
        <v/>
      </c>
      <c r="E20" s="17" t="str">
        <f aca="false">IF($A20="","",SUMIFS(transactions!$I$2:$I$501,transactions!$C$2:$C$501,E$1,transactions!$B$2:$B$501,"&lt;="&amp;$A20))</f>
        <v/>
      </c>
      <c r="F20" s="17" t="str">
        <f aca="false">IF($A20="","",SUMIFS(transactions!$I$2:$I$501,transactions!$C$2:$C$501,F$1,transactions!$B$2:$B$501,"&lt;="&amp;$A20))</f>
        <v/>
      </c>
      <c r="G20" s="17" t="str">
        <f aca="false">IF($A20="","",SUMIFS(transactions!$I$2:$I$501,transactions!$C$2:$C$501,G$1,transactions!$B$2:$B$501,"&lt;="&amp;$A20))</f>
        <v/>
      </c>
      <c r="H20" s="17" t="str">
        <f aca="false">IF($A20="","",SUMIFS(transactions!$I$2:$I$501,transactions!$C$2:$C$501,H$1,transactions!$B$2:$B$501,"&lt;="&amp;$A20))</f>
        <v/>
      </c>
      <c r="I20" s="17" t="str">
        <f aca="false">IF($A20="","",SUMIFS(transactions!$I$2:$I$501,transactions!$C$2:$C$501,I$1,transactions!$B$2:$B$501,"&lt;="&amp;$A20))</f>
        <v/>
      </c>
      <c r="J20" s="17" t="str">
        <f aca="false">IF($A20="","",SUMIFS(transactions!$I$2:$I$501,transactions!$C$2:$C$501,J$1,transactions!$B$2:$B$501,"&lt;="&amp;$A20))</f>
        <v/>
      </c>
      <c r="K20" s="17" t="str">
        <f aca="false">IF($A20="","",SUMIFS(transactions!$I$2:$I$501,transactions!$C$2:$C$501,K$1,transactions!$B$2:$B$501,"&lt;="&amp;$A20))</f>
        <v/>
      </c>
      <c r="L20" s="17" t="str">
        <f aca="false">IF($A20="","",SUMIFS(transactions!$I$2:$I$501,transactions!$C$2:$C$501,L$1,transactions!$B$2:$B$501,"&lt;="&amp;$A20))</f>
        <v/>
      </c>
      <c r="M20" s="17" t="str">
        <f aca="false">IF($A20="","",SUMIFS(transactions!$I$2:$I$501,transactions!$C$2:$C$501,M$1,transactions!$B$2:$B$501,"&lt;="&amp;$A20))</f>
        <v/>
      </c>
      <c r="N20" s="17" t="str">
        <f aca="false">IF($A20="","",SUMIFS(transactions!$I$2:$I$501,transactions!$C$2:$C$501,N$1,transactions!$B$2:$B$501,"&lt;="&amp;$A20))</f>
        <v/>
      </c>
      <c r="O20" s="17" t="str">
        <f aca="false">IF($A20="","",SUMIFS(transactions!$I$2:$I$501,transactions!$C$2:$C$501,O$1,transactions!$B$2:$B$501,"&lt;="&amp;$A20))</f>
        <v/>
      </c>
      <c r="P20" s="17" t="str">
        <f aca="false">IF($A20="","",SUMIFS(transactions!$I$2:$I$501,transactions!$C$2:$C$501,P$1,transactions!$B$2:$B$501,"&lt;="&amp;$A20))</f>
        <v/>
      </c>
      <c r="Q20" s="17" t="str">
        <f aca="false">IF($A20="","",SUMIFS(transactions!$I$2:$I$501,transactions!$C$2:$C$501,Q$1,transactions!$B$2:$B$501,"&lt;="&amp;$A20))</f>
        <v/>
      </c>
      <c r="R20" s="17" t="str">
        <f aca="false">IF($A20="","",SUMIFS(transactions!$I$2:$I$501,transactions!$C$2:$C$501,R$1,transactions!$B$2:$B$501,"&lt;="&amp;$A20))</f>
        <v/>
      </c>
      <c r="S20" s="17" t="str">
        <f aca="false">IF($A20="","",SUMIFS(transactions!$I$2:$I$501,transactions!$C$2:$C$501,S$1,transactions!$B$2:$B$501,"&lt;="&amp;$A20))</f>
        <v/>
      </c>
      <c r="T20" s="17" t="str">
        <f aca="false">IF($A20="","",SUMIFS(transactions!$I$2:$I$501,transactions!$C$2:$C$501,T$1,transactions!$B$2:$B$501,"&lt;="&amp;$A20))</f>
        <v/>
      </c>
      <c r="U20" s="17" t="str">
        <f aca="false">IF($A20="","",SUMIFS(transactions!$I$2:$I$501,transactions!$C$2:$C$501,U$1,transactions!$B$2:$B$501,"&lt;="&amp;$A20))</f>
        <v/>
      </c>
      <c r="V20" s="17" t="str">
        <f aca="false">IF($A20="","",SUMIFS(transactions!$I$2:$I$501,transactions!$C$2:$C$501,V$1,transactions!$B$2:$B$501,"&lt;="&amp;$A20))</f>
        <v/>
      </c>
      <c r="W20" s="17" t="str">
        <f aca="false">IF($A20="","",SUMIFS(transactions!$I$2:$I$501,transactions!$C$2:$C$501,W$1,transactions!$B$2:$B$501,"&lt;="&amp;$A20))</f>
        <v/>
      </c>
      <c r="X20" s="17" t="str">
        <f aca="false">IF($A20="","",SUMIFS(transactions!$I$2:$I$501,transactions!$C$2:$C$501,X$1,transactions!$B$2:$B$501,"&lt;="&amp;$A20))</f>
        <v/>
      </c>
      <c r="Y20" s="17" t="str">
        <f aca="false">IF($A20="","",SUMIFS(transactions!$I$2:$I$501,transactions!$C$2:$C$501,Y$1,transactions!$B$2:$B$501,"&lt;="&amp;$A20))</f>
        <v/>
      </c>
      <c r="Z20" s="17" t="str">
        <f aca="false">IF($A20="","",SUMIFS(transactions!$I$2:$I$501,transactions!$C$2:$C$501,Z$1,transactions!$B$2:$B$501,"&lt;="&amp;$A20))</f>
        <v/>
      </c>
      <c r="AA20" s="17" t="str">
        <f aca="false">IF($A20="","",SUMIFS(transactions!$I$2:$I$501,transactions!$C$2:$C$501,AA$1,transactions!$B$2:$B$501,"&lt;="&amp;$A20))</f>
        <v/>
      </c>
      <c r="AB20" s="17" t="str">
        <f aca="false">IF($A20="","",SUMIFS(transactions!$I$2:$I$501,transactions!$C$2:$C$501,AB$1,transactions!$B$2:$B$501,"&lt;="&amp;$A20))</f>
        <v/>
      </c>
      <c r="AC20" s="17" t="str">
        <f aca="false">IF($A20="","",SUMIFS(transactions!$I$2:$I$501,transactions!$C$2:$C$501,AC$1,transactions!$B$2:$B$501,"&lt;="&amp;$A20))</f>
        <v/>
      </c>
      <c r="AD20" s="17" t="str">
        <f aca="false">IF($A20="","",SUMIFS(transactions!$I$2:$I$501,transactions!$C$2:$C$501,AD$1,transactions!$B$2:$B$501,"&lt;="&amp;$A20))</f>
        <v/>
      </c>
      <c r="AE20" s="17" t="str">
        <f aca="false">IF($A20="","",SUMIFS(transactions!$I$2:$I$501,transactions!$C$2:$C$501,AE$1,transactions!$B$2:$B$501,"&lt;="&amp;$A20))</f>
        <v/>
      </c>
      <c r="AF20" s="17" t="str">
        <f aca="false">IF($A20="","",SUMIFS(transactions!$I$2:$I$501,transactions!$C$2:$C$501,AF$1,transactions!$B$2:$B$501,"&lt;="&amp;$A20))</f>
        <v/>
      </c>
      <c r="AG20" s="17" t="str">
        <f aca="false">IF($A20="","",SUMIFS(transactions!$I$2:$I$501,transactions!$C$2:$C$501,AG$1,transactions!$B$2:$B$501,"&lt;="&amp;$A20))</f>
        <v/>
      </c>
      <c r="AH20" s="17" t="str">
        <f aca="false">IF($A20="","",SUMIFS(transactions!$I$2:$I$501,transactions!$C$2:$C$501,AH$1,transactions!$B$2:$B$501,"&lt;="&amp;$A20))</f>
        <v/>
      </c>
      <c r="AI20" s="17" t="str">
        <f aca="false">IF($A20="","",SUMIFS(transactions!$I$2:$I$501,transactions!$C$2:$C$501,AI$1,transactions!$B$2:$B$501,"&lt;="&amp;$A20))</f>
        <v/>
      </c>
      <c r="AJ20" s="17" t="str">
        <f aca="false">IF($A20="","",SUMIFS(transactions!$I$2:$I$501,transactions!$C$2:$C$501,AJ$1,transactions!$B$2:$B$501,"&lt;="&amp;$A20))</f>
        <v/>
      </c>
    </row>
    <row r="21" customFormat="false" ht="15" hidden="false" customHeight="false" outlineLevel="0" collapsed="false">
      <c r="A21" s="20" t="str">
        <f aca="false">IF(prices!A21="","",prices!A21)</f>
        <v/>
      </c>
      <c r="B21" s="17" t="str">
        <f aca="false">IF($A21="","",SUMIFS(transactions!$I$2:$I$501,transactions!$C$2:$C$501,B$1,transactions!$B$2:$B$501,"&lt;="&amp;$A21))</f>
        <v/>
      </c>
      <c r="C21" s="17" t="str">
        <f aca="false">IF($A21="","",SUMIFS(transactions!$I$2:$I$501,transactions!$C$2:$C$501,C$1,transactions!$B$2:$B$501,"&lt;="&amp;$A21))</f>
        <v/>
      </c>
      <c r="D21" s="17" t="str">
        <f aca="false">IF($A21="","",SUMIFS(transactions!$I$2:$I$501,transactions!$C$2:$C$501,D$1,transactions!$B$2:$B$501,"&lt;="&amp;$A21))</f>
        <v/>
      </c>
      <c r="E21" s="17" t="str">
        <f aca="false">IF($A21="","",SUMIFS(transactions!$I$2:$I$501,transactions!$C$2:$C$501,E$1,transactions!$B$2:$B$501,"&lt;="&amp;$A21))</f>
        <v/>
      </c>
      <c r="F21" s="17" t="str">
        <f aca="false">IF($A21="","",SUMIFS(transactions!$I$2:$I$501,transactions!$C$2:$C$501,F$1,transactions!$B$2:$B$501,"&lt;="&amp;$A21))</f>
        <v/>
      </c>
      <c r="G21" s="17" t="str">
        <f aca="false">IF($A21="","",SUMIFS(transactions!$I$2:$I$501,transactions!$C$2:$C$501,G$1,transactions!$B$2:$B$501,"&lt;="&amp;$A21))</f>
        <v/>
      </c>
      <c r="H21" s="17" t="str">
        <f aca="false">IF($A21="","",SUMIFS(transactions!$I$2:$I$501,transactions!$C$2:$C$501,H$1,transactions!$B$2:$B$501,"&lt;="&amp;$A21))</f>
        <v/>
      </c>
      <c r="I21" s="17" t="str">
        <f aca="false">IF($A21="","",SUMIFS(transactions!$I$2:$I$501,transactions!$C$2:$C$501,I$1,transactions!$B$2:$B$501,"&lt;="&amp;$A21))</f>
        <v/>
      </c>
      <c r="J21" s="17" t="str">
        <f aca="false">IF($A21="","",SUMIFS(transactions!$I$2:$I$501,transactions!$C$2:$C$501,J$1,transactions!$B$2:$B$501,"&lt;="&amp;$A21))</f>
        <v/>
      </c>
      <c r="K21" s="17" t="str">
        <f aca="false">IF($A21="","",SUMIFS(transactions!$I$2:$I$501,transactions!$C$2:$C$501,K$1,transactions!$B$2:$B$501,"&lt;="&amp;$A21))</f>
        <v/>
      </c>
      <c r="L21" s="17" t="str">
        <f aca="false">IF($A21="","",SUMIFS(transactions!$I$2:$I$501,transactions!$C$2:$C$501,L$1,transactions!$B$2:$B$501,"&lt;="&amp;$A21))</f>
        <v/>
      </c>
      <c r="M21" s="17" t="str">
        <f aca="false">IF($A21="","",SUMIFS(transactions!$I$2:$I$501,transactions!$C$2:$C$501,M$1,transactions!$B$2:$B$501,"&lt;="&amp;$A21))</f>
        <v/>
      </c>
      <c r="N21" s="17" t="str">
        <f aca="false">IF($A21="","",SUMIFS(transactions!$I$2:$I$501,transactions!$C$2:$C$501,N$1,transactions!$B$2:$B$501,"&lt;="&amp;$A21))</f>
        <v/>
      </c>
      <c r="O21" s="17" t="str">
        <f aca="false">IF($A21="","",SUMIFS(transactions!$I$2:$I$501,transactions!$C$2:$C$501,O$1,transactions!$B$2:$B$501,"&lt;="&amp;$A21))</f>
        <v/>
      </c>
      <c r="P21" s="17" t="str">
        <f aca="false">IF($A21="","",SUMIFS(transactions!$I$2:$I$501,transactions!$C$2:$C$501,P$1,transactions!$B$2:$B$501,"&lt;="&amp;$A21))</f>
        <v/>
      </c>
      <c r="Q21" s="17" t="str">
        <f aca="false">IF($A21="","",SUMIFS(transactions!$I$2:$I$501,transactions!$C$2:$C$501,Q$1,transactions!$B$2:$B$501,"&lt;="&amp;$A21))</f>
        <v/>
      </c>
      <c r="R21" s="17" t="str">
        <f aca="false">IF($A21="","",SUMIFS(transactions!$I$2:$I$501,transactions!$C$2:$C$501,R$1,transactions!$B$2:$B$501,"&lt;="&amp;$A21))</f>
        <v/>
      </c>
      <c r="S21" s="17" t="str">
        <f aca="false">IF($A21="","",SUMIFS(transactions!$I$2:$I$501,transactions!$C$2:$C$501,S$1,transactions!$B$2:$B$501,"&lt;="&amp;$A21))</f>
        <v/>
      </c>
      <c r="T21" s="17" t="str">
        <f aca="false">IF($A21="","",SUMIFS(transactions!$I$2:$I$501,transactions!$C$2:$C$501,T$1,transactions!$B$2:$B$501,"&lt;="&amp;$A21))</f>
        <v/>
      </c>
      <c r="U21" s="17" t="str">
        <f aca="false">IF($A21="","",SUMIFS(transactions!$I$2:$I$501,transactions!$C$2:$C$501,U$1,transactions!$B$2:$B$501,"&lt;="&amp;$A21))</f>
        <v/>
      </c>
      <c r="V21" s="17" t="str">
        <f aca="false">IF($A21="","",SUMIFS(transactions!$I$2:$I$501,transactions!$C$2:$C$501,V$1,transactions!$B$2:$B$501,"&lt;="&amp;$A21))</f>
        <v/>
      </c>
      <c r="W21" s="17" t="str">
        <f aca="false">IF($A21="","",SUMIFS(transactions!$I$2:$I$501,transactions!$C$2:$C$501,W$1,transactions!$B$2:$B$501,"&lt;="&amp;$A21))</f>
        <v/>
      </c>
      <c r="X21" s="17" t="str">
        <f aca="false">IF($A21="","",SUMIFS(transactions!$I$2:$I$501,transactions!$C$2:$C$501,X$1,transactions!$B$2:$B$501,"&lt;="&amp;$A21))</f>
        <v/>
      </c>
      <c r="Y21" s="17" t="str">
        <f aca="false">IF($A21="","",SUMIFS(transactions!$I$2:$I$501,transactions!$C$2:$C$501,Y$1,transactions!$B$2:$B$501,"&lt;="&amp;$A21))</f>
        <v/>
      </c>
      <c r="Z21" s="17" t="str">
        <f aca="false">IF($A21="","",SUMIFS(transactions!$I$2:$I$501,transactions!$C$2:$C$501,Z$1,transactions!$B$2:$B$501,"&lt;="&amp;$A21))</f>
        <v/>
      </c>
      <c r="AA21" s="17" t="str">
        <f aca="false">IF($A21="","",SUMIFS(transactions!$I$2:$I$501,transactions!$C$2:$C$501,AA$1,transactions!$B$2:$B$501,"&lt;="&amp;$A21))</f>
        <v/>
      </c>
      <c r="AB21" s="17" t="str">
        <f aca="false">IF($A21="","",SUMIFS(transactions!$I$2:$I$501,transactions!$C$2:$C$501,AB$1,transactions!$B$2:$B$501,"&lt;="&amp;$A21))</f>
        <v/>
      </c>
      <c r="AC21" s="17" t="str">
        <f aca="false">IF($A21="","",SUMIFS(transactions!$I$2:$I$501,transactions!$C$2:$C$501,AC$1,transactions!$B$2:$B$501,"&lt;="&amp;$A21))</f>
        <v/>
      </c>
      <c r="AD21" s="17" t="str">
        <f aca="false">IF($A21="","",SUMIFS(transactions!$I$2:$I$501,transactions!$C$2:$C$501,AD$1,transactions!$B$2:$B$501,"&lt;="&amp;$A21))</f>
        <v/>
      </c>
      <c r="AE21" s="17" t="str">
        <f aca="false">IF($A21="","",SUMIFS(transactions!$I$2:$I$501,transactions!$C$2:$C$501,AE$1,transactions!$B$2:$B$501,"&lt;="&amp;$A21))</f>
        <v/>
      </c>
      <c r="AF21" s="17" t="str">
        <f aca="false">IF($A21="","",SUMIFS(transactions!$I$2:$I$501,transactions!$C$2:$C$501,AF$1,transactions!$B$2:$B$501,"&lt;="&amp;$A21))</f>
        <v/>
      </c>
      <c r="AG21" s="17" t="str">
        <f aca="false">IF($A21="","",SUMIFS(transactions!$I$2:$I$501,transactions!$C$2:$C$501,AG$1,transactions!$B$2:$B$501,"&lt;="&amp;$A21))</f>
        <v/>
      </c>
      <c r="AH21" s="17" t="str">
        <f aca="false">IF($A21="","",SUMIFS(transactions!$I$2:$I$501,transactions!$C$2:$C$501,AH$1,transactions!$B$2:$B$501,"&lt;="&amp;$A21))</f>
        <v/>
      </c>
      <c r="AI21" s="17" t="str">
        <f aca="false">IF($A21="","",SUMIFS(transactions!$I$2:$I$501,transactions!$C$2:$C$501,AI$1,transactions!$B$2:$B$501,"&lt;="&amp;$A21))</f>
        <v/>
      </c>
      <c r="AJ21" s="17" t="str">
        <f aca="false">IF($A21="","",SUMIFS(transactions!$I$2:$I$501,transactions!$C$2:$C$501,AJ$1,transactions!$B$2:$B$501,"&lt;="&amp;$A21))</f>
        <v/>
      </c>
    </row>
    <row r="22" customFormat="false" ht="15" hidden="false" customHeight="false" outlineLevel="0" collapsed="false">
      <c r="A22" s="20" t="str">
        <f aca="false">IF(prices!A22="","",prices!A22)</f>
        <v/>
      </c>
      <c r="B22" s="17" t="str">
        <f aca="false">IF($A22="","",SUMIFS(transactions!$I$2:$I$501,transactions!$C$2:$C$501,B$1,transactions!$B$2:$B$501,"&lt;="&amp;$A22))</f>
        <v/>
      </c>
      <c r="C22" s="17" t="str">
        <f aca="false">IF($A22="","",SUMIFS(transactions!$I$2:$I$501,transactions!$C$2:$C$501,C$1,transactions!$B$2:$B$501,"&lt;="&amp;$A22))</f>
        <v/>
      </c>
      <c r="D22" s="17" t="str">
        <f aca="false">IF($A22="","",SUMIFS(transactions!$I$2:$I$501,transactions!$C$2:$C$501,D$1,transactions!$B$2:$B$501,"&lt;="&amp;$A22))</f>
        <v/>
      </c>
      <c r="E22" s="17" t="str">
        <f aca="false">IF($A22="","",SUMIFS(transactions!$I$2:$I$501,transactions!$C$2:$C$501,E$1,transactions!$B$2:$B$501,"&lt;="&amp;$A22))</f>
        <v/>
      </c>
      <c r="F22" s="17" t="str">
        <f aca="false">IF($A22="","",SUMIFS(transactions!$I$2:$I$501,transactions!$C$2:$C$501,F$1,transactions!$B$2:$B$501,"&lt;="&amp;$A22))</f>
        <v/>
      </c>
      <c r="G22" s="17" t="str">
        <f aca="false">IF($A22="","",SUMIFS(transactions!$I$2:$I$501,transactions!$C$2:$C$501,G$1,transactions!$B$2:$B$501,"&lt;="&amp;$A22))</f>
        <v/>
      </c>
      <c r="H22" s="17" t="str">
        <f aca="false">IF($A22="","",SUMIFS(transactions!$I$2:$I$501,transactions!$C$2:$C$501,H$1,transactions!$B$2:$B$501,"&lt;="&amp;$A22))</f>
        <v/>
      </c>
      <c r="I22" s="17" t="str">
        <f aca="false">IF($A22="","",SUMIFS(transactions!$I$2:$I$501,transactions!$C$2:$C$501,I$1,transactions!$B$2:$B$501,"&lt;="&amp;$A22))</f>
        <v/>
      </c>
      <c r="J22" s="17" t="str">
        <f aca="false">IF($A22="","",SUMIFS(transactions!$I$2:$I$501,transactions!$C$2:$C$501,J$1,transactions!$B$2:$B$501,"&lt;="&amp;$A22))</f>
        <v/>
      </c>
      <c r="K22" s="17" t="str">
        <f aca="false">IF($A22="","",SUMIFS(transactions!$I$2:$I$501,transactions!$C$2:$C$501,K$1,transactions!$B$2:$B$501,"&lt;="&amp;$A22))</f>
        <v/>
      </c>
      <c r="L22" s="17" t="str">
        <f aca="false">IF($A22="","",SUMIFS(transactions!$I$2:$I$501,transactions!$C$2:$C$501,L$1,transactions!$B$2:$B$501,"&lt;="&amp;$A22))</f>
        <v/>
      </c>
      <c r="M22" s="17" t="str">
        <f aca="false">IF($A22="","",SUMIFS(transactions!$I$2:$I$501,transactions!$C$2:$C$501,M$1,transactions!$B$2:$B$501,"&lt;="&amp;$A22))</f>
        <v/>
      </c>
      <c r="N22" s="17" t="str">
        <f aca="false">IF($A22="","",SUMIFS(transactions!$I$2:$I$501,transactions!$C$2:$C$501,N$1,transactions!$B$2:$B$501,"&lt;="&amp;$A22))</f>
        <v/>
      </c>
      <c r="O22" s="17" t="str">
        <f aca="false">IF($A22="","",SUMIFS(transactions!$I$2:$I$501,transactions!$C$2:$C$501,O$1,transactions!$B$2:$B$501,"&lt;="&amp;$A22))</f>
        <v/>
      </c>
      <c r="P22" s="17" t="str">
        <f aca="false">IF($A22="","",SUMIFS(transactions!$I$2:$I$501,transactions!$C$2:$C$501,P$1,transactions!$B$2:$B$501,"&lt;="&amp;$A22))</f>
        <v/>
      </c>
      <c r="Q22" s="17" t="str">
        <f aca="false">IF($A22="","",SUMIFS(transactions!$I$2:$I$501,transactions!$C$2:$C$501,Q$1,transactions!$B$2:$B$501,"&lt;="&amp;$A22))</f>
        <v/>
      </c>
      <c r="R22" s="17" t="str">
        <f aca="false">IF($A22="","",SUMIFS(transactions!$I$2:$I$501,transactions!$C$2:$C$501,R$1,transactions!$B$2:$B$501,"&lt;="&amp;$A22))</f>
        <v/>
      </c>
      <c r="S22" s="17" t="str">
        <f aca="false">IF($A22="","",SUMIFS(transactions!$I$2:$I$501,transactions!$C$2:$C$501,S$1,transactions!$B$2:$B$501,"&lt;="&amp;$A22))</f>
        <v/>
      </c>
      <c r="T22" s="17" t="str">
        <f aca="false">IF($A22="","",SUMIFS(transactions!$I$2:$I$501,transactions!$C$2:$C$501,T$1,transactions!$B$2:$B$501,"&lt;="&amp;$A22))</f>
        <v/>
      </c>
      <c r="U22" s="17" t="str">
        <f aca="false">IF($A22="","",SUMIFS(transactions!$I$2:$I$501,transactions!$C$2:$C$501,U$1,transactions!$B$2:$B$501,"&lt;="&amp;$A22))</f>
        <v/>
      </c>
      <c r="V22" s="17" t="str">
        <f aca="false">IF($A22="","",SUMIFS(transactions!$I$2:$I$501,transactions!$C$2:$C$501,V$1,transactions!$B$2:$B$501,"&lt;="&amp;$A22))</f>
        <v/>
      </c>
      <c r="W22" s="17" t="str">
        <f aca="false">IF($A22="","",SUMIFS(transactions!$I$2:$I$501,transactions!$C$2:$C$501,W$1,transactions!$B$2:$B$501,"&lt;="&amp;$A22))</f>
        <v/>
      </c>
      <c r="X22" s="17" t="str">
        <f aca="false">IF($A22="","",SUMIFS(transactions!$I$2:$I$501,transactions!$C$2:$C$501,X$1,transactions!$B$2:$B$501,"&lt;="&amp;$A22))</f>
        <v/>
      </c>
      <c r="Y22" s="17" t="str">
        <f aca="false">IF($A22="","",SUMIFS(transactions!$I$2:$I$501,transactions!$C$2:$C$501,Y$1,transactions!$B$2:$B$501,"&lt;="&amp;$A22))</f>
        <v/>
      </c>
      <c r="Z22" s="17" t="str">
        <f aca="false">IF($A22="","",SUMIFS(transactions!$I$2:$I$501,transactions!$C$2:$C$501,Z$1,transactions!$B$2:$B$501,"&lt;="&amp;$A22))</f>
        <v/>
      </c>
      <c r="AA22" s="17" t="str">
        <f aca="false">IF($A22="","",SUMIFS(transactions!$I$2:$I$501,transactions!$C$2:$C$501,AA$1,transactions!$B$2:$B$501,"&lt;="&amp;$A22))</f>
        <v/>
      </c>
      <c r="AB22" s="17" t="str">
        <f aca="false">IF($A22="","",SUMIFS(transactions!$I$2:$I$501,transactions!$C$2:$C$501,AB$1,transactions!$B$2:$B$501,"&lt;="&amp;$A22))</f>
        <v/>
      </c>
      <c r="AC22" s="17" t="str">
        <f aca="false">IF($A22="","",SUMIFS(transactions!$I$2:$I$501,transactions!$C$2:$C$501,AC$1,transactions!$B$2:$B$501,"&lt;="&amp;$A22))</f>
        <v/>
      </c>
      <c r="AD22" s="17" t="str">
        <f aca="false">IF($A22="","",SUMIFS(transactions!$I$2:$I$501,transactions!$C$2:$C$501,AD$1,transactions!$B$2:$B$501,"&lt;="&amp;$A22))</f>
        <v/>
      </c>
      <c r="AE22" s="17" t="str">
        <f aca="false">IF($A22="","",SUMIFS(transactions!$I$2:$I$501,transactions!$C$2:$C$501,AE$1,transactions!$B$2:$B$501,"&lt;="&amp;$A22))</f>
        <v/>
      </c>
      <c r="AF22" s="17" t="str">
        <f aca="false">IF($A22="","",SUMIFS(transactions!$I$2:$I$501,transactions!$C$2:$C$501,AF$1,transactions!$B$2:$B$501,"&lt;="&amp;$A22))</f>
        <v/>
      </c>
      <c r="AG22" s="17" t="str">
        <f aca="false">IF($A22="","",SUMIFS(transactions!$I$2:$I$501,transactions!$C$2:$C$501,AG$1,transactions!$B$2:$B$501,"&lt;="&amp;$A22))</f>
        <v/>
      </c>
      <c r="AH22" s="17" t="str">
        <f aca="false">IF($A22="","",SUMIFS(transactions!$I$2:$I$501,transactions!$C$2:$C$501,AH$1,transactions!$B$2:$B$501,"&lt;="&amp;$A22))</f>
        <v/>
      </c>
      <c r="AI22" s="17" t="str">
        <f aca="false">IF($A22="","",SUMIFS(transactions!$I$2:$I$501,transactions!$C$2:$C$501,AI$1,transactions!$B$2:$B$501,"&lt;="&amp;$A22))</f>
        <v/>
      </c>
      <c r="AJ22" s="17" t="str">
        <f aca="false">IF($A22="","",SUMIFS(transactions!$I$2:$I$501,transactions!$C$2:$C$501,AJ$1,transactions!$B$2:$B$501,"&lt;="&amp;$A22))</f>
        <v/>
      </c>
    </row>
    <row r="23" customFormat="false" ht="15" hidden="false" customHeight="false" outlineLevel="0" collapsed="false">
      <c r="A23" s="20" t="str">
        <f aca="false">IF(prices!A23="","",prices!A23)</f>
        <v/>
      </c>
      <c r="B23" s="17" t="str">
        <f aca="false">IF($A23="","",SUMIFS(transactions!$I$2:$I$501,transactions!$C$2:$C$501,B$1,transactions!$B$2:$B$501,"&lt;="&amp;$A23))</f>
        <v/>
      </c>
      <c r="C23" s="17" t="str">
        <f aca="false">IF($A23="","",SUMIFS(transactions!$I$2:$I$501,transactions!$C$2:$C$501,C$1,transactions!$B$2:$B$501,"&lt;="&amp;$A23))</f>
        <v/>
      </c>
      <c r="D23" s="17" t="str">
        <f aca="false">IF($A23="","",SUMIFS(transactions!$I$2:$I$501,transactions!$C$2:$C$501,D$1,transactions!$B$2:$B$501,"&lt;="&amp;$A23))</f>
        <v/>
      </c>
      <c r="E23" s="17" t="str">
        <f aca="false">IF($A23="","",SUMIFS(transactions!$I$2:$I$501,transactions!$C$2:$C$501,E$1,transactions!$B$2:$B$501,"&lt;="&amp;$A23))</f>
        <v/>
      </c>
      <c r="F23" s="17" t="str">
        <f aca="false">IF($A23="","",SUMIFS(transactions!$I$2:$I$501,transactions!$C$2:$C$501,F$1,transactions!$B$2:$B$501,"&lt;="&amp;$A23))</f>
        <v/>
      </c>
      <c r="G23" s="17" t="str">
        <f aca="false">IF($A23="","",SUMIFS(transactions!$I$2:$I$501,transactions!$C$2:$C$501,G$1,transactions!$B$2:$B$501,"&lt;="&amp;$A23))</f>
        <v/>
      </c>
      <c r="H23" s="17" t="str">
        <f aca="false">IF($A23="","",SUMIFS(transactions!$I$2:$I$501,transactions!$C$2:$C$501,H$1,transactions!$B$2:$B$501,"&lt;="&amp;$A23))</f>
        <v/>
      </c>
      <c r="I23" s="17" t="str">
        <f aca="false">IF($A23="","",SUMIFS(transactions!$I$2:$I$501,transactions!$C$2:$C$501,I$1,transactions!$B$2:$B$501,"&lt;="&amp;$A23))</f>
        <v/>
      </c>
      <c r="J23" s="17" t="str">
        <f aca="false">IF($A23="","",SUMIFS(transactions!$I$2:$I$501,transactions!$C$2:$C$501,J$1,transactions!$B$2:$B$501,"&lt;="&amp;$A23))</f>
        <v/>
      </c>
      <c r="K23" s="17" t="str">
        <f aca="false">IF($A23="","",SUMIFS(transactions!$I$2:$I$501,transactions!$C$2:$C$501,K$1,transactions!$B$2:$B$501,"&lt;="&amp;$A23))</f>
        <v/>
      </c>
      <c r="L23" s="17" t="str">
        <f aca="false">IF($A23="","",SUMIFS(transactions!$I$2:$I$501,transactions!$C$2:$C$501,L$1,transactions!$B$2:$B$501,"&lt;="&amp;$A23))</f>
        <v/>
      </c>
      <c r="M23" s="17" t="str">
        <f aca="false">IF($A23="","",SUMIFS(transactions!$I$2:$I$501,transactions!$C$2:$C$501,M$1,transactions!$B$2:$B$501,"&lt;="&amp;$A23))</f>
        <v/>
      </c>
      <c r="N23" s="17" t="str">
        <f aca="false">IF($A23="","",SUMIFS(transactions!$I$2:$I$501,transactions!$C$2:$C$501,N$1,transactions!$B$2:$B$501,"&lt;="&amp;$A23))</f>
        <v/>
      </c>
      <c r="O23" s="17" t="str">
        <f aca="false">IF($A23="","",SUMIFS(transactions!$I$2:$I$501,transactions!$C$2:$C$501,O$1,transactions!$B$2:$B$501,"&lt;="&amp;$A23))</f>
        <v/>
      </c>
      <c r="P23" s="17" t="str">
        <f aca="false">IF($A23="","",SUMIFS(transactions!$I$2:$I$501,transactions!$C$2:$C$501,P$1,transactions!$B$2:$B$501,"&lt;="&amp;$A23))</f>
        <v/>
      </c>
      <c r="Q23" s="17" t="str">
        <f aca="false">IF($A23="","",SUMIFS(transactions!$I$2:$I$501,transactions!$C$2:$C$501,Q$1,transactions!$B$2:$B$501,"&lt;="&amp;$A23))</f>
        <v/>
      </c>
      <c r="R23" s="17" t="str">
        <f aca="false">IF($A23="","",SUMIFS(transactions!$I$2:$I$501,transactions!$C$2:$C$501,R$1,transactions!$B$2:$B$501,"&lt;="&amp;$A23))</f>
        <v/>
      </c>
      <c r="S23" s="17" t="str">
        <f aca="false">IF($A23="","",SUMIFS(transactions!$I$2:$I$501,transactions!$C$2:$C$501,S$1,transactions!$B$2:$B$501,"&lt;="&amp;$A23))</f>
        <v/>
      </c>
      <c r="T23" s="17" t="str">
        <f aca="false">IF($A23="","",SUMIFS(transactions!$I$2:$I$501,transactions!$C$2:$C$501,T$1,transactions!$B$2:$B$501,"&lt;="&amp;$A23))</f>
        <v/>
      </c>
      <c r="U23" s="17" t="str">
        <f aca="false">IF($A23="","",SUMIFS(transactions!$I$2:$I$501,transactions!$C$2:$C$501,U$1,transactions!$B$2:$B$501,"&lt;="&amp;$A23))</f>
        <v/>
      </c>
      <c r="V23" s="17" t="str">
        <f aca="false">IF($A23="","",SUMIFS(transactions!$I$2:$I$501,transactions!$C$2:$C$501,V$1,transactions!$B$2:$B$501,"&lt;="&amp;$A23))</f>
        <v/>
      </c>
      <c r="W23" s="17" t="str">
        <f aca="false">IF($A23="","",SUMIFS(transactions!$I$2:$I$501,transactions!$C$2:$C$501,W$1,transactions!$B$2:$B$501,"&lt;="&amp;$A23))</f>
        <v/>
      </c>
      <c r="X23" s="17" t="str">
        <f aca="false">IF($A23="","",SUMIFS(transactions!$I$2:$I$501,transactions!$C$2:$C$501,X$1,transactions!$B$2:$B$501,"&lt;="&amp;$A23))</f>
        <v/>
      </c>
      <c r="Y23" s="17" t="str">
        <f aca="false">IF($A23="","",SUMIFS(transactions!$I$2:$I$501,transactions!$C$2:$C$501,Y$1,transactions!$B$2:$B$501,"&lt;="&amp;$A23))</f>
        <v/>
      </c>
      <c r="Z23" s="17" t="str">
        <f aca="false">IF($A23="","",SUMIFS(transactions!$I$2:$I$501,transactions!$C$2:$C$501,Z$1,transactions!$B$2:$B$501,"&lt;="&amp;$A23))</f>
        <v/>
      </c>
      <c r="AA23" s="17" t="str">
        <f aca="false">IF($A23="","",SUMIFS(transactions!$I$2:$I$501,transactions!$C$2:$C$501,AA$1,transactions!$B$2:$B$501,"&lt;="&amp;$A23))</f>
        <v/>
      </c>
      <c r="AB23" s="17" t="str">
        <f aca="false">IF($A23="","",SUMIFS(transactions!$I$2:$I$501,transactions!$C$2:$C$501,AB$1,transactions!$B$2:$B$501,"&lt;="&amp;$A23))</f>
        <v/>
      </c>
      <c r="AC23" s="17" t="str">
        <f aca="false">IF($A23="","",SUMIFS(transactions!$I$2:$I$501,transactions!$C$2:$C$501,AC$1,transactions!$B$2:$B$501,"&lt;="&amp;$A23))</f>
        <v/>
      </c>
      <c r="AD23" s="17" t="str">
        <f aca="false">IF($A23="","",SUMIFS(transactions!$I$2:$I$501,transactions!$C$2:$C$501,AD$1,transactions!$B$2:$B$501,"&lt;="&amp;$A23))</f>
        <v/>
      </c>
      <c r="AE23" s="17" t="str">
        <f aca="false">IF($A23="","",SUMIFS(transactions!$I$2:$I$501,transactions!$C$2:$C$501,AE$1,transactions!$B$2:$B$501,"&lt;="&amp;$A23))</f>
        <v/>
      </c>
      <c r="AF23" s="17" t="str">
        <f aca="false">IF($A23="","",SUMIFS(transactions!$I$2:$I$501,transactions!$C$2:$C$501,AF$1,transactions!$B$2:$B$501,"&lt;="&amp;$A23))</f>
        <v/>
      </c>
      <c r="AG23" s="17" t="str">
        <f aca="false">IF($A23="","",SUMIFS(transactions!$I$2:$I$501,transactions!$C$2:$C$501,AG$1,transactions!$B$2:$B$501,"&lt;="&amp;$A23))</f>
        <v/>
      </c>
      <c r="AH23" s="17" t="str">
        <f aca="false">IF($A23="","",SUMIFS(transactions!$I$2:$I$501,transactions!$C$2:$C$501,AH$1,transactions!$B$2:$B$501,"&lt;="&amp;$A23))</f>
        <v/>
      </c>
      <c r="AI23" s="17" t="str">
        <f aca="false">IF($A23="","",SUMIFS(transactions!$I$2:$I$501,transactions!$C$2:$C$501,AI$1,transactions!$B$2:$B$501,"&lt;="&amp;$A23))</f>
        <v/>
      </c>
      <c r="AJ23" s="17" t="str">
        <f aca="false">IF($A23="","",SUMIFS(transactions!$I$2:$I$501,transactions!$C$2:$C$501,AJ$1,transactions!$B$2:$B$501,"&lt;="&amp;$A23))</f>
        <v/>
      </c>
    </row>
    <row r="24" customFormat="false" ht="15" hidden="false" customHeight="false" outlineLevel="0" collapsed="false">
      <c r="A24" s="20" t="str">
        <f aca="false">IF(prices!A24="","",prices!A24)</f>
        <v/>
      </c>
      <c r="B24" s="17" t="str">
        <f aca="false">IF($A24="","",SUMIFS(transactions!$I$2:$I$501,transactions!$C$2:$C$501,B$1,transactions!$B$2:$B$501,"&lt;="&amp;$A24))</f>
        <v/>
      </c>
      <c r="C24" s="17" t="str">
        <f aca="false">IF($A24="","",SUMIFS(transactions!$I$2:$I$501,transactions!$C$2:$C$501,C$1,transactions!$B$2:$B$501,"&lt;="&amp;$A24))</f>
        <v/>
      </c>
      <c r="D24" s="17" t="str">
        <f aca="false">IF($A24="","",SUMIFS(transactions!$I$2:$I$501,transactions!$C$2:$C$501,D$1,transactions!$B$2:$B$501,"&lt;="&amp;$A24))</f>
        <v/>
      </c>
      <c r="E24" s="17" t="str">
        <f aca="false">IF($A24="","",SUMIFS(transactions!$I$2:$I$501,transactions!$C$2:$C$501,E$1,transactions!$B$2:$B$501,"&lt;="&amp;$A24))</f>
        <v/>
      </c>
      <c r="F24" s="17" t="str">
        <f aca="false">IF($A24="","",SUMIFS(transactions!$I$2:$I$501,transactions!$C$2:$C$501,F$1,transactions!$B$2:$B$501,"&lt;="&amp;$A24))</f>
        <v/>
      </c>
      <c r="G24" s="17" t="str">
        <f aca="false">IF($A24="","",SUMIFS(transactions!$I$2:$I$501,transactions!$C$2:$C$501,G$1,transactions!$B$2:$B$501,"&lt;="&amp;$A24))</f>
        <v/>
      </c>
      <c r="H24" s="17" t="str">
        <f aca="false">IF($A24="","",SUMIFS(transactions!$I$2:$I$501,transactions!$C$2:$C$501,H$1,transactions!$B$2:$B$501,"&lt;="&amp;$A24))</f>
        <v/>
      </c>
      <c r="I24" s="17" t="str">
        <f aca="false">IF($A24="","",SUMIFS(transactions!$I$2:$I$501,transactions!$C$2:$C$501,I$1,transactions!$B$2:$B$501,"&lt;="&amp;$A24))</f>
        <v/>
      </c>
      <c r="J24" s="17" t="str">
        <f aca="false">IF($A24="","",SUMIFS(transactions!$I$2:$I$501,transactions!$C$2:$C$501,J$1,transactions!$B$2:$B$501,"&lt;="&amp;$A24))</f>
        <v/>
      </c>
      <c r="K24" s="17" t="str">
        <f aca="false">IF($A24="","",SUMIFS(transactions!$I$2:$I$501,transactions!$C$2:$C$501,K$1,transactions!$B$2:$B$501,"&lt;="&amp;$A24))</f>
        <v/>
      </c>
      <c r="L24" s="17" t="str">
        <f aca="false">IF($A24="","",SUMIFS(transactions!$I$2:$I$501,transactions!$C$2:$C$501,L$1,transactions!$B$2:$B$501,"&lt;="&amp;$A24))</f>
        <v/>
      </c>
      <c r="M24" s="17" t="str">
        <f aca="false">IF($A24="","",SUMIFS(transactions!$I$2:$I$501,transactions!$C$2:$C$501,M$1,transactions!$B$2:$B$501,"&lt;="&amp;$A24))</f>
        <v/>
      </c>
      <c r="N24" s="17" t="str">
        <f aca="false">IF($A24="","",SUMIFS(transactions!$I$2:$I$501,transactions!$C$2:$C$501,N$1,transactions!$B$2:$B$501,"&lt;="&amp;$A24))</f>
        <v/>
      </c>
      <c r="O24" s="17" t="str">
        <f aca="false">IF($A24="","",SUMIFS(transactions!$I$2:$I$501,transactions!$C$2:$C$501,O$1,transactions!$B$2:$B$501,"&lt;="&amp;$A24))</f>
        <v/>
      </c>
      <c r="P24" s="17" t="str">
        <f aca="false">IF($A24="","",SUMIFS(transactions!$I$2:$I$501,transactions!$C$2:$C$501,P$1,transactions!$B$2:$B$501,"&lt;="&amp;$A24))</f>
        <v/>
      </c>
      <c r="Q24" s="17" t="str">
        <f aca="false">IF($A24="","",SUMIFS(transactions!$I$2:$I$501,transactions!$C$2:$C$501,Q$1,transactions!$B$2:$B$501,"&lt;="&amp;$A24))</f>
        <v/>
      </c>
      <c r="R24" s="17" t="str">
        <f aca="false">IF($A24="","",SUMIFS(transactions!$I$2:$I$501,transactions!$C$2:$C$501,R$1,transactions!$B$2:$B$501,"&lt;="&amp;$A24))</f>
        <v/>
      </c>
      <c r="S24" s="17" t="str">
        <f aca="false">IF($A24="","",SUMIFS(transactions!$I$2:$I$501,transactions!$C$2:$C$501,S$1,transactions!$B$2:$B$501,"&lt;="&amp;$A24))</f>
        <v/>
      </c>
      <c r="T24" s="17" t="str">
        <f aca="false">IF($A24="","",SUMIFS(transactions!$I$2:$I$501,transactions!$C$2:$C$501,T$1,transactions!$B$2:$B$501,"&lt;="&amp;$A24))</f>
        <v/>
      </c>
      <c r="U24" s="17" t="str">
        <f aca="false">IF($A24="","",SUMIFS(transactions!$I$2:$I$501,transactions!$C$2:$C$501,U$1,transactions!$B$2:$B$501,"&lt;="&amp;$A24))</f>
        <v/>
      </c>
      <c r="V24" s="17" t="str">
        <f aca="false">IF($A24="","",SUMIFS(transactions!$I$2:$I$501,transactions!$C$2:$C$501,V$1,transactions!$B$2:$B$501,"&lt;="&amp;$A24))</f>
        <v/>
      </c>
      <c r="W24" s="17" t="str">
        <f aca="false">IF($A24="","",SUMIFS(transactions!$I$2:$I$501,transactions!$C$2:$C$501,W$1,transactions!$B$2:$B$501,"&lt;="&amp;$A24))</f>
        <v/>
      </c>
      <c r="X24" s="17" t="str">
        <f aca="false">IF($A24="","",SUMIFS(transactions!$I$2:$I$501,transactions!$C$2:$C$501,X$1,transactions!$B$2:$B$501,"&lt;="&amp;$A24))</f>
        <v/>
      </c>
      <c r="Y24" s="17" t="str">
        <f aca="false">IF($A24="","",SUMIFS(transactions!$I$2:$I$501,transactions!$C$2:$C$501,Y$1,transactions!$B$2:$B$501,"&lt;="&amp;$A24))</f>
        <v/>
      </c>
      <c r="Z24" s="17" t="str">
        <f aca="false">IF($A24="","",SUMIFS(transactions!$I$2:$I$501,transactions!$C$2:$C$501,Z$1,transactions!$B$2:$B$501,"&lt;="&amp;$A24))</f>
        <v/>
      </c>
      <c r="AA24" s="17" t="str">
        <f aca="false">IF($A24="","",SUMIFS(transactions!$I$2:$I$501,transactions!$C$2:$C$501,AA$1,transactions!$B$2:$B$501,"&lt;="&amp;$A24))</f>
        <v/>
      </c>
      <c r="AB24" s="17" t="str">
        <f aca="false">IF($A24="","",SUMIFS(transactions!$I$2:$I$501,transactions!$C$2:$C$501,AB$1,transactions!$B$2:$B$501,"&lt;="&amp;$A24))</f>
        <v/>
      </c>
      <c r="AC24" s="17" t="str">
        <f aca="false">IF($A24="","",SUMIFS(transactions!$I$2:$I$501,transactions!$C$2:$C$501,AC$1,transactions!$B$2:$B$501,"&lt;="&amp;$A24))</f>
        <v/>
      </c>
      <c r="AD24" s="17" t="str">
        <f aca="false">IF($A24="","",SUMIFS(transactions!$I$2:$I$501,transactions!$C$2:$C$501,AD$1,transactions!$B$2:$B$501,"&lt;="&amp;$A24))</f>
        <v/>
      </c>
      <c r="AE24" s="17" t="str">
        <f aca="false">IF($A24="","",SUMIFS(transactions!$I$2:$I$501,transactions!$C$2:$C$501,AE$1,transactions!$B$2:$B$501,"&lt;="&amp;$A24))</f>
        <v/>
      </c>
      <c r="AF24" s="17" t="str">
        <f aca="false">IF($A24="","",SUMIFS(transactions!$I$2:$I$501,transactions!$C$2:$C$501,AF$1,transactions!$B$2:$B$501,"&lt;="&amp;$A24))</f>
        <v/>
      </c>
      <c r="AG24" s="17" t="str">
        <f aca="false">IF($A24="","",SUMIFS(transactions!$I$2:$I$501,transactions!$C$2:$C$501,AG$1,transactions!$B$2:$B$501,"&lt;="&amp;$A24))</f>
        <v/>
      </c>
      <c r="AH24" s="17" t="str">
        <f aca="false">IF($A24="","",SUMIFS(transactions!$I$2:$I$501,transactions!$C$2:$C$501,AH$1,transactions!$B$2:$B$501,"&lt;="&amp;$A24))</f>
        <v/>
      </c>
      <c r="AI24" s="17" t="str">
        <f aca="false">IF($A24="","",SUMIFS(transactions!$I$2:$I$501,transactions!$C$2:$C$501,AI$1,transactions!$B$2:$B$501,"&lt;="&amp;$A24))</f>
        <v/>
      </c>
      <c r="AJ24" s="17" t="str">
        <f aca="false">IF($A24="","",SUMIFS(transactions!$I$2:$I$501,transactions!$C$2:$C$501,AJ$1,transactions!$B$2:$B$501,"&lt;="&amp;$A24))</f>
        <v/>
      </c>
    </row>
    <row r="25" customFormat="false" ht="15" hidden="false" customHeight="false" outlineLevel="0" collapsed="false">
      <c r="A25" s="20" t="str">
        <f aca="false">IF(prices!A25="","",prices!A25)</f>
        <v/>
      </c>
      <c r="B25" s="17" t="str">
        <f aca="false">IF($A25="","",SUMIFS(transactions!$I$2:$I$501,transactions!$C$2:$C$501,B$1,transactions!$B$2:$B$501,"&lt;="&amp;$A25))</f>
        <v/>
      </c>
      <c r="C25" s="17" t="str">
        <f aca="false">IF($A25="","",SUMIFS(transactions!$I$2:$I$501,transactions!$C$2:$C$501,C$1,transactions!$B$2:$B$501,"&lt;="&amp;$A25))</f>
        <v/>
      </c>
      <c r="D25" s="17" t="str">
        <f aca="false">IF($A25="","",SUMIFS(transactions!$I$2:$I$501,transactions!$C$2:$C$501,D$1,transactions!$B$2:$B$501,"&lt;="&amp;$A25))</f>
        <v/>
      </c>
      <c r="E25" s="17" t="str">
        <f aca="false">IF($A25="","",SUMIFS(transactions!$I$2:$I$501,transactions!$C$2:$C$501,E$1,transactions!$B$2:$B$501,"&lt;="&amp;$A25))</f>
        <v/>
      </c>
      <c r="F25" s="17" t="str">
        <f aca="false">IF($A25="","",SUMIFS(transactions!$I$2:$I$501,transactions!$C$2:$C$501,F$1,transactions!$B$2:$B$501,"&lt;="&amp;$A25))</f>
        <v/>
      </c>
      <c r="G25" s="17" t="str">
        <f aca="false">IF($A25="","",SUMIFS(transactions!$I$2:$I$501,transactions!$C$2:$C$501,G$1,transactions!$B$2:$B$501,"&lt;="&amp;$A25))</f>
        <v/>
      </c>
      <c r="H25" s="17" t="str">
        <f aca="false">IF($A25="","",SUMIFS(transactions!$I$2:$I$501,transactions!$C$2:$C$501,H$1,transactions!$B$2:$B$501,"&lt;="&amp;$A25))</f>
        <v/>
      </c>
      <c r="I25" s="17" t="str">
        <f aca="false">IF($A25="","",SUMIFS(transactions!$I$2:$I$501,transactions!$C$2:$C$501,I$1,transactions!$B$2:$B$501,"&lt;="&amp;$A25))</f>
        <v/>
      </c>
      <c r="J25" s="17" t="str">
        <f aca="false">IF($A25="","",SUMIFS(transactions!$I$2:$I$501,transactions!$C$2:$C$501,J$1,transactions!$B$2:$B$501,"&lt;="&amp;$A25))</f>
        <v/>
      </c>
      <c r="K25" s="17" t="str">
        <f aca="false">IF($A25="","",SUMIFS(transactions!$I$2:$I$501,transactions!$C$2:$C$501,K$1,transactions!$B$2:$B$501,"&lt;="&amp;$A25))</f>
        <v/>
      </c>
      <c r="L25" s="17" t="str">
        <f aca="false">IF($A25="","",SUMIFS(transactions!$I$2:$I$501,transactions!$C$2:$C$501,L$1,transactions!$B$2:$B$501,"&lt;="&amp;$A25))</f>
        <v/>
      </c>
      <c r="M25" s="17" t="str">
        <f aca="false">IF($A25="","",SUMIFS(transactions!$I$2:$I$501,transactions!$C$2:$C$501,M$1,transactions!$B$2:$B$501,"&lt;="&amp;$A25))</f>
        <v/>
      </c>
      <c r="N25" s="17" t="str">
        <f aca="false">IF($A25="","",SUMIFS(transactions!$I$2:$I$501,transactions!$C$2:$C$501,N$1,transactions!$B$2:$B$501,"&lt;="&amp;$A25))</f>
        <v/>
      </c>
      <c r="O25" s="17" t="str">
        <f aca="false">IF($A25="","",SUMIFS(transactions!$I$2:$I$501,transactions!$C$2:$C$501,O$1,transactions!$B$2:$B$501,"&lt;="&amp;$A25))</f>
        <v/>
      </c>
      <c r="P25" s="17" t="str">
        <f aca="false">IF($A25="","",SUMIFS(transactions!$I$2:$I$501,transactions!$C$2:$C$501,P$1,transactions!$B$2:$B$501,"&lt;="&amp;$A25))</f>
        <v/>
      </c>
      <c r="Q25" s="17" t="str">
        <f aca="false">IF($A25="","",SUMIFS(transactions!$I$2:$I$501,transactions!$C$2:$C$501,Q$1,transactions!$B$2:$B$501,"&lt;="&amp;$A25))</f>
        <v/>
      </c>
      <c r="R25" s="17" t="str">
        <f aca="false">IF($A25="","",SUMIFS(transactions!$I$2:$I$501,transactions!$C$2:$C$501,R$1,transactions!$B$2:$B$501,"&lt;="&amp;$A25))</f>
        <v/>
      </c>
      <c r="S25" s="17" t="str">
        <f aca="false">IF($A25="","",SUMIFS(transactions!$I$2:$I$501,transactions!$C$2:$C$501,S$1,transactions!$B$2:$B$501,"&lt;="&amp;$A25))</f>
        <v/>
      </c>
      <c r="T25" s="17" t="str">
        <f aca="false">IF($A25="","",SUMIFS(transactions!$I$2:$I$501,transactions!$C$2:$C$501,T$1,transactions!$B$2:$B$501,"&lt;="&amp;$A25))</f>
        <v/>
      </c>
      <c r="U25" s="17" t="str">
        <f aca="false">IF($A25="","",SUMIFS(transactions!$I$2:$I$501,transactions!$C$2:$C$501,U$1,transactions!$B$2:$B$501,"&lt;="&amp;$A25))</f>
        <v/>
      </c>
      <c r="V25" s="17" t="str">
        <f aca="false">IF($A25="","",SUMIFS(transactions!$I$2:$I$501,transactions!$C$2:$C$501,V$1,transactions!$B$2:$B$501,"&lt;="&amp;$A25))</f>
        <v/>
      </c>
      <c r="W25" s="17" t="str">
        <f aca="false">IF($A25="","",SUMIFS(transactions!$I$2:$I$501,transactions!$C$2:$C$501,W$1,transactions!$B$2:$B$501,"&lt;="&amp;$A25))</f>
        <v/>
      </c>
      <c r="X25" s="17" t="str">
        <f aca="false">IF($A25="","",SUMIFS(transactions!$I$2:$I$501,transactions!$C$2:$C$501,X$1,transactions!$B$2:$B$501,"&lt;="&amp;$A25))</f>
        <v/>
      </c>
      <c r="Y25" s="17" t="str">
        <f aca="false">IF($A25="","",SUMIFS(transactions!$I$2:$I$501,transactions!$C$2:$C$501,Y$1,transactions!$B$2:$B$501,"&lt;="&amp;$A25))</f>
        <v/>
      </c>
      <c r="Z25" s="17" t="str">
        <f aca="false">IF($A25="","",SUMIFS(transactions!$I$2:$I$501,transactions!$C$2:$C$501,Z$1,transactions!$B$2:$B$501,"&lt;="&amp;$A25))</f>
        <v/>
      </c>
      <c r="AA25" s="17" t="str">
        <f aca="false">IF($A25="","",SUMIFS(transactions!$I$2:$I$501,transactions!$C$2:$C$501,AA$1,transactions!$B$2:$B$501,"&lt;="&amp;$A25))</f>
        <v/>
      </c>
      <c r="AB25" s="17" t="str">
        <f aca="false">IF($A25="","",SUMIFS(transactions!$I$2:$I$501,transactions!$C$2:$C$501,AB$1,transactions!$B$2:$B$501,"&lt;="&amp;$A25))</f>
        <v/>
      </c>
      <c r="AC25" s="17" t="str">
        <f aca="false">IF($A25="","",SUMIFS(transactions!$I$2:$I$501,transactions!$C$2:$C$501,AC$1,transactions!$B$2:$B$501,"&lt;="&amp;$A25))</f>
        <v/>
      </c>
      <c r="AD25" s="17" t="str">
        <f aca="false">IF($A25="","",SUMIFS(transactions!$I$2:$I$501,transactions!$C$2:$C$501,AD$1,transactions!$B$2:$B$501,"&lt;="&amp;$A25))</f>
        <v/>
      </c>
      <c r="AE25" s="17" t="str">
        <f aca="false">IF($A25="","",SUMIFS(transactions!$I$2:$I$501,transactions!$C$2:$C$501,AE$1,transactions!$B$2:$B$501,"&lt;="&amp;$A25))</f>
        <v/>
      </c>
      <c r="AF25" s="17" t="str">
        <f aca="false">IF($A25="","",SUMIFS(transactions!$I$2:$I$501,transactions!$C$2:$C$501,AF$1,transactions!$B$2:$B$501,"&lt;="&amp;$A25))</f>
        <v/>
      </c>
      <c r="AG25" s="17" t="str">
        <f aca="false">IF($A25="","",SUMIFS(transactions!$I$2:$I$501,transactions!$C$2:$C$501,AG$1,transactions!$B$2:$B$501,"&lt;="&amp;$A25))</f>
        <v/>
      </c>
      <c r="AH25" s="17" t="str">
        <f aca="false">IF($A25="","",SUMIFS(transactions!$I$2:$I$501,transactions!$C$2:$C$501,AH$1,transactions!$B$2:$B$501,"&lt;="&amp;$A25))</f>
        <v/>
      </c>
      <c r="AI25" s="17" t="str">
        <f aca="false">IF($A25="","",SUMIFS(transactions!$I$2:$I$501,transactions!$C$2:$C$501,AI$1,transactions!$B$2:$B$501,"&lt;="&amp;$A25))</f>
        <v/>
      </c>
      <c r="AJ25" s="17" t="str">
        <f aca="false">IF($A25="","",SUMIFS(transactions!$I$2:$I$501,transactions!$C$2:$C$501,AJ$1,transactions!$B$2:$B$501,"&lt;="&amp;$A25))</f>
        <v/>
      </c>
    </row>
    <row r="26" customFormat="false" ht="15" hidden="false" customHeight="false" outlineLevel="0" collapsed="false">
      <c r="A26" s="20" t="str">
        <f aca="false">IF(prices!A26="","",prices!A26)</f>
        <v/>
      </c>
      <c r="B26" s="17" t="str">
        <f aca="false">IF($A26="","",SUMIFS(transactions!$I$2:$I$501,transactions!$C$2:$C$501,B$1,transactions!$B$2:$B$501,"&lt;="&amp;$A26))</f>
        <v/>
      </c>
      <c r="C26" s="17" t="str">
        <f aca="false">IF($A26="","",SUMIFS(transactions!$I$2:$I$501,transactions!$C$2:$C$501,C$1,transactions!$B$2:$B$501,"&lt;="&amp;$A26))</f>
        <v/>
      </c>
      <c r="D26" s="17" t="str">
        <f aca="false">IF($A26="","",SUMIFS(transactions!$I$2:$I$501,transactions!$C$2:$C$501,D$1,transactions!$B$2:$B$501,"&lt;="&amp;$A26))</f>
        <v/>
      </c>
      <c r="E26" s="17" t="str">
        <f aca="false">IF($A26="","",SUMIFS(transactions!$I$2:$I$501,transactions!$C$2:$C$501,E$1,transactions!$B$2:$B$501,"&lt;="&amp;$A26))</f>
        <v/>
      </c>
      <c r="F26" s="17" t="str">
        <f aca="false">IF($A26="","",SUMIFS(transactions!$I$2:$I$501,transactions!$C$2:$C$501,F$1,transactions!$B$2:$B$501,"&lt;="&amp;$A26))</f>
        <v/>
      </c>
      <c r="G26" s="17" t="str">
        <f aca="false">IF($A26="","",SUMIFS(transactions!$I$2:$I$501,transactions!$C$2:$C$501,G$1,transactions!$B$2:$B$501,"&lt;="&amp;$A26))</f>
        <v/>
      </c>
      <c r="H26" s="17" t="str">
        <f aca="false">IF($A26="","",SUMIFS(transactions!$I$2:$I$501,transactions!$C$2:$C$501,H$1,transactions!$B$2:$B$501,"&lt;="&amp;$A26))</f>
        <v/>
      </c>
      <c r="I26" s="17" t="str">
        <f aca="false">IF($A26="","",SUMIFS(transactions!$I$2:$I$501,transactions!$C$2:$C$501,I$1,transactions!$B$2:$B$501,"&lt;="&amp;$A26))</f>
        <v/>
      </c>
      <c r="J26" s="17" t="str">
        <f aca="false">IF($A26="","",SUMIFS(transactions!$I$2:$I$501,transactions!$C$2:$C$501,J$1,transactions!$B$2:$B$501,"&lt;="&amp;$A26))</f>
        <v/>
      </c>
      <c r="K26" s="17" t="str">
        <f aca="false">IF($A26="","",SUMIFS(transactions!$I$2:$I$501,transactions!$C$2:$C$501,K$1,transactions!$B$2:$B$501,"&lt;="&amp;$A26))</f>
        <v/>
      </c>
      <c r="L26" s="17" t="str">
        <f aca="false">IF($A26="","",SUMIFS(transactions!$I$2:$I$501,transactions!$C$2:$C$501,L$1,transactions!$B$2:$B$501,"&lt;="&amp;$A26))</f>
        <v/>
      </c>
      <c r="M26" s="17" t="str">
        <f aca="false">IF($A26="","",SUMIFS(transactions!$I$2:$I$501,transactions!$C$2:$C$501,M$1,transactions!$B$2:$B$501,"&lt;="&amp;$A26))</f>
        <v/>
      </c>
      <c r="N26" s="17" t="str">
        <f aca="false">IF($A26="","",SUMIFS(transactions!$I$2:$I$501,transactions!$C$2:$C$501,N$1,transactions!$B$2:$B$501,"&lt;="&amp;$A26))</f>
        <v/>
      </c>
      <c r="O26" s="17" t="str">
        <f aca="false">IF($A26="","",SUMIFS(transactions!$I$2:$I$501,transactions!$C$2:$C$501,O$1,transactions!$B$2:$B$501,"&lt;="&amp;$A26))</f>
        <v/>
      </c>
      <c r="P26" s="17" t="str">
        <f aca="false">IF($A26="","",SUMIFS(transactions!$I$2:$I$501,transactions!$C$2:$C$501,P$1,transactions!$B$2:$B$501,"&lt;="&amp;$A26))</f>
        <v/>
      </c>
      <c r="Q26" s="17" t="str">
        <f aca="false">IF($A26="","",SUMIFS(transactions!$I$2:$I$501,transactions!$C$2:$C$501,Q$1,transactions!$B$2:$B$501,"&lt;="&amp;$A26))</f>
        <v/>
      </c>
      <c r="R26" s="17" t="str">
        <f aca="false">IF($A26="","",SUMIFS(transactions!$I$2:$I$501,transactions!$C$2:$C$501,R$1,transactions!$B$2:$B$501,"&lt;="&amp;$A26))</f>
        <v/>
      </c>
      <c r="S26" s="17" t="str">
        <f aca="false">IF($A26="","",SUMIFS(transactions!$I$2:$I$501,transactions!$C$2:$C$501,S$1,transactions!$B$2:$B$501,"&lt;="&amp;$A26))</f>
        <v/>
      </c>
      <c r="T26" s="17" t="str">
        <f aca="false">IF($A26="","",SUMIFS(transactions!$I$2:$I$501,transactions!$C$2:$C$501,T$1,transactions!$B$2:$B$501,"&lt;="&amp;$A26))</f>
        <v/>
      </c>
      <c r="U26" s="17" t="str">
        <f aca="false">IF($A26="","",SUMIFS(transactions!$I$2:$I$501,transactions!$C$2:$C$501,U$1,transactions!$B$2:$B$501,"&lt;="&amp;$A26))</f>
        <v/>
      </c>
      <c r="V26" s="17" t="str">
        <f aca="false">IF($A26="","",SUMIFS(transactions!$I$2:$I$501,transactions!$C$2:$C$501,V$1,transactions!$B$2:$B$501,"&lt;="&amp;$A26))</f>
        <v/>
      </c>
      <c r="W26" s="17" t="str">
        <f aca="false">IF($A26="","",SUMIFS(transactions!$I$2:$I$501,transactions!$C$2:$C$501,W$1,transactions!$B$2:$B$501,"&lt;="&amp;$A26))</f>
        <v/>
      </c>
      <c r="X26" s="17" t="str">
        <f aca="false">IF($A26="","",SUMIFS(transactions!$I$2:$I$501,transactions!$C$2:$C$501,X$1,transactions!$B$2:$B$501,"&lt;="&amp;$A26))</f>
        <v/>
      </c>
      <c r="Y26" s="17" t="str">
        <f aca="false">IF($A26="","",SUMIFS(transactions!$I$2:$I$501,transactions!$C$2:$C$501,Y$1,transactions!$B$2:$B$501,"&lt;="&amp;$A26))</f>
        <v/>
      </c>
      <c r="Z26" s="17" t="str">
        <f aca="false">IF($A26="","",SUMIFS(transactions!$I$2:$I$501,transactions!$C$2:$C$501,Z$1,transactions!$B$2:$B$501,"&lt;="&amp;$A26))</f>
        <v/>
      </c>
      <c r="AA26" s="17" t="str">
        <f aca="false">IF($A26="","",SUMIFS(transactions!$I$2:$I$501,transactions!$C$2:$C$501,AA$1,transactions!$B$2:$B$501,"&lt;="&amp;$A26))</f>
        <v/>
      </c>
      <c r="AB26" s="17" t="str">
        <f aca="false">IF($A26="","",SUMIFS(transactions!$I$2:$I$501,transactions!$C$2:$C$501,AB$1,transactions!$B$2:$B$501,"&lt;="&amp;$A26))</f>
        <v/>
      </c>
      <c r="AC26" s="17" t="str">
        <f aca="false">IF($A26="","",SUMIFS(transactions!$I$2:$I$501,transactions!$C$2:$C$501,AC$1,transactions!$B$2:$B$501,"&lt;="&amp;$A26))</f>
        <v/>
      </c>
      <c r="AD26" s="17" t="str">
        <f aca="false">IF($A26="","",SUMIFS(transactions!$I$2:$I$501,transactions!$C$2:$C$501,AD$1,transactions!$B$2:$B$501,"&lt;="&amp;$A26))</f>
        <v/>
      </c>
      <c r="AE26" s="17" t="str">
        <f aca="false">IF($A26="","",SUMIFS(transactions!$I$2:$I$501,transactions!$C$2:$C$501,AE$1,transactions!$B$2:$B$501,"&lt;="&amp;$A26))</f>
        <v/>
      </c>
      <c r="AF26" s="17" t="str">
        <f aca="false">IF($A26="","",SUMIFS(transactions!$I$2:$I$501,transactions!$C$2:$C$501,AF$1,transactions!$B$2:$B$501,"&lt;="&amp;$A26))</f>
        <v/>
      </c>
      <c r="AG26" s="17" t="str">
        <f aca="false">IF($A26="","",SUMIFS(transactions!$I$2:$I$501,transactions!$C$2:$C$501,AG$1,transactions!$B$2:$B$501,"&lt;="&amp;$A26))</f>
        <v/>
      </c>
      <c r="AH26" s="17" t="str">
        <f aca="false">IF($A26="","",SUMIFS(transactions!$I$2:$I$501,transactions!$C$2:$C$501,AH$1,transactions!$B$2:$B$501,"&lt;="&amp;$A26))</f>
        <v/>
      </c>
      <c r="AI26" s="17" t="str">
        <f aca="false">IF($A26="","",SUMIFS(transactions!$I$2:$I$501,transactions!$C$2:$C$501,AI$1,transactions!$B$2:$B$501,"&lt;="&amp;$A26))</f>
        <v/>
      </c>
      <c r="AJ26" s="17" t="str">
        <f aca="false">IF($A26="","",SUMIFS(transactions!$I$2:$I$501,transactions!$C$2:$C$501,AJ$1,transactions!$B$2:$B$501,"&lt;="&amp;$A26))</f>
        <v/>
      </c>
    </row>
    <row r="27" customFormat="false" ht="15" hidden="false" customHeight="false" outlineLevel="0" collapsed="false">
      <c r="A27" s="20" t="str">
        <f aca="false">IF(prices!A27="","",prices!A27)</f>
        <v/>
      </c>
      <c r="B27" s="17" t="str">
        <f aca="false">IF($A27="","",SUMIFS(transactions!$I$2:$I$501,transactions!$C$2:$C$501,B$1,transactions!$B$2:$B$501,"&lt;="&amp;$A27))</f>
        <v/>
      </c>
      <c r="C27" s="17" t="str">
        <f aca="false">IF($A27="","",SUMIFS(transactions!$I$2:$I$501,transactions!$C$2:$C$501,C$1,transactions!$B$2:$B$501,"&lt;="&amp;$A27))</f>
        <v/>
      </c>
      <c r="D27" s="17" t="str">
        <f aca="false">IF($A27="","",SUMIFS(transactions!$I$2:$I$501,transactions!$C$2:$C$501,D$1,transactions!$B$2:$B$501,"&lt;="&amp;$A27))</f>
        <v/>
      </c>
      <c r="E27" s="17" t="str">
        <f aca="false">IF($A27="","",SUMIFS(transactions!$I$2:$I$501,transactions!$C$2:$C$501,E$1,transactions!$B$2:$B$501,"&lt;="&amp;$A27))</f>
        <v/>
      </c>
      <c r="F27" s="17" t="str">
        <f aca="false">IF($A27="","",SUMIFS(transactions!$I$2:$I$501,transactions!$C$2:$C$501,F$1,transactions!$B$2:$B$501,"&lt;="&amp;$A27))</f>
        <v/>
      </c>
      <c r="G27" s="17" t="str">
        <f aca="false">IF($A27="","",SUMIFS(transactions!$I$2:$I$501,transactions!$C$2:$C$501,G$1,transactions!$B$2:$B$501,"&lt;="&amp;$A27))</f>
        <v/>
      </c>
      <c r="H27" s="17" t="str">
        <f aca="false">IF($A27="","",SUMIFS(transactions!$I$2:$I$501,transactions!$C$2:$C$501,H$1,transactions!$B$2:$B$501,"&lt;="&amp;$A27))</f>
        <v/>
      </c>
      <c r="I27" s="17" t="str">
        <f aca="false">IF($A27="","",SUMIFS(transactions!$I$2:$I$501,transactions!$C$2:$C$501,I$1,transactions!$B$2:$B$501,"&lt;="&amp;$A27))</f>
        <v/>
      </c>
      <c r="J27" s="17" t="str">
        <f aca="false">IF($A27="","",SUMIFS(transactions!$I$2:$I$501,transactions!$C$2:$C$501,J$1,transactions!$B$2:$B$501,"&lt;="&amp;$A27))</f>
        <v/>
      </c>
      <c r="K27" s="17" t="str">
        <f aca="false">IF($A27="","",SUMIFS(transactions!$I$2:$I$501,transactions!$C$2:$C$501,K$1,transactions!$B$2:$B$501,"&lt;="&amp;$A27))</f>
        <v/>
      </c>
      <c r="L27" s="17" t="str">
        <f aca="false">IF($A27="","",SUMIFS(transactions!$I$2:$I$501,transactions!$C$2:$C$501,L$1,transactions!$B$2:$B$501,"&lt;="&amp;$A27))</f>
        <v/>
      </c>
      <c r="M27" s="17" t="str">
        <f aca="false">IF($A27="","",SUMIFS(transactions!$I$2:$I$501,transactions!$C$2:$C$501,M$1,transactions!$B$2:$B$501,"&lt;="&amp;$A27))</f>
        <v/>
      </c>
      <c r="N27" s="17" t="str">
        <f aca="false">IF($A27="","",SUMIFS(transactions!$I$2:$I$501,transactions!$C$2:$C$501,N$1,transactions!$B$2:$B$501,"&lt;="&amp;$A27))</f>
        <v/>
      </c>
      <c r="O27" s="17" t="str">
        <f aca="false">IF($A27="","",SUMIFS(transactions!$I$2:$I$501,transactions!$C$2:$C$501,O$1,transactions!$B$2:$B$501,"&lt;="&amp;$A27))</f>
        <v/>
      </c>
      <c r="P27" s="17" t="str">
        <f aca="false">IF($A27="","",SUMIFS(transactions!$I$2:$I$501,transactions!$C$2:$C$501,P$1,transactions!$B$2:$B$501,"&lt;="&amp;$A27))</f>
        <v/>
      </c>
      <c r="Q27" s="17" t="str">
        <f aca="false">IF($A27="","",SUMIFS(transactions!$I$2:$I$501,transactions!$C$2:$C$501,Q$1,transactions!$B$2:$B$501,"&lt;="&amp;$A27))</f>
        <v/>
      </c>
      <c r="R27" s="17" t="str">
        <f aca="false">IF($A27="","",SUMIFS(transactions!$I$2:$I$501,transactions!$C$2:$C$501,R$1,transactions!$B$2:$B$501,"&lt;="&amp;$A27))</f>
        <v/>
      </c>
      <c r="S27" s="17" t="str">
        <f aca="false">IF($A27="","",SUMIFS(transactions!$I$2:$I$501,transactions!$C$2:$C$501,S$1,transactions!$B$2:$B$501,"&lt;="&amp;$A27))</f>
        <v/>
      </c>
      <c r="T27" s="17" t="str">
        <f aca="false">IF($A27="","",SUMIFS(transactions!$I$2:$I$501,transactions!$C$2:$C$501,T$1,transactions!$B$2:$B$501,"&lt;="&amp;$A27))</f>
        <v/>
      </c>
      <c r="U27" s="17" t="str">
        <f aca="false">IF($A27="","",SUMIFS(transactions!$I$2:$I$501,transactions!$C$2:$C$501,U$1,transactions!$B$2:$B$501,"&lt;="&amp;$A27))</f>
        <v/>
      </c>
      <c r="V27" s="17" t="str">
        <f aca="false">IF($A27="","",SUMIFS(transactions!$I$2:$I$501,transactions!$C$2:$C$501,V$1,transactions!$B$2:$B$501,"&lt;="&amp;$A27))</f>
        <v/>
      </c>
      <c r="W27" s="17" t="str">
        <f aca="false">IF($A27="","",SUMIFS(transactions!$I$2:$I$501,transactions!$C$2:$C$501,W$1,transactions!$B$2:$B$501,"&lt;="&amp;$A27))</f>
        <v/>
      </c>
      <c r="X27" s="17" t="str">
        <f aca="false">IF($A27="","",SUMIFS(transactions!$I$2:$I$501,transactions!$C$2:$C$501,X$1,transactions!$B$2:$B$501,"&lt;="&amp;$A27))</f>
        <v/>
      </c>
      <c r="Y27" s="17" t="str">
        <f aca="false">IF($A27="","",SUMIFS(transactions!$I$2:$I$501,transactions!$C$2:$C$501,Y$1,transactions!$B$2:$B$501,"&lt;="&amp;$A27))</f>
        <v/>
      </c>
      <c r="Z27" s="17" t="str">
        <f aca="false">IF($A27="","",SUMIFS(transactions!$I$2:$I$501,transactions!$C$2:$C$501,Z$1,transactions!$B$2:$B$501,"&lt;="&amp;$A27))</f>
        <v/>
      </c>
      <c r="AA27" s="17" t="str">
        <f aca="false">IF($A27="","",SUMIFS(transactions!$I$2:$I$501,transactions!$C$2:$C$501,AA$1,transactions!$B$2:$B$501,"&lt;="&amp;$A27))</f>
        <v/>
      </c>
      <c r="AB27" s="17" t="str">
        <f aca="false">IF($A27="","",SUMIFS(transactions!$I$2:$I$501,transactions!$C$2:$C$501,AB$1,transactions!$B$2:$B$501,"&lt;="&amp;$A27))</f>
        <v/>
      </c>
      <c r="AC27" s="17" t="str">
        <f aca="false">IF($A27="","",SUMIFS(transactions!$I$2:$I$501,transactions!$C$2:$C$501,AC$1,transactions!$B$2:$B$501,"&lt;="&amp;$A27))</f>
        <v/>
      </c>
      <c r="AD27" s="17" t="str">
        <f aca="false">IF($A27="","",SUMIFS(transactions!$I$2:$I$501,transactions!$C$2:$C$501,AD$1,transactions!$B$2:$B$501,"&lt;="&amp;$A27))</f>
        <v/>
      </c>
      <c r="AE27" s="17" t="str">
        <f aca="false">IF($A27="","",SUMIFS(transactions!$I$2:$I$501,transactions!$C$2:$C$501,AE$1,transactions!$B$2:$B$501,"&lt;="&amp;$A27))</f>
        <v/>
      </c>
      <c r="AF27" s="17" t="str">
        <f aca="false">IF($A27="","",SUMIFS(transactions!$I$2:$I$501,transactions!$C$2:$C$501,AF$1,transactions!$B$2:$B$501,"&lt;="&amp;$A27))</f>
        <v/>
      </c>
      <c r="AG27" s="17" t="str">
        <f aca="false">IF($A27="","",SUMIFS(transactions!$I$2:$I$501,transactions!$C$2:$C$501,AG$1,transactions!$B$2:$B$501,"&lt;="&amp;$A27))</f>
        <v/>
      </c>
      <c r="AH27" s="17" t="str">
        <f aca="false">IF($A27="","",SUMIFS(transactions!$I$2:$I$501,transactions!$C$2:$C$501,AH$1,transactions!$B$2:$B$501,"&lt;="&amp;$A27))</f>
        <v/>
      </c>
      <c r="AI27" s="17" t="str">
        <f aca="false">IF($A27="","",SUMIFS(transactions!$I$2:$I$501,transactions!$C$2:$C$501,AI$1,transactions!$B$2:$B$501,"&lt;="&amp;$A27))</f>
        <v/>
      </c>
      <c r="AJ27" s="17" t="str">
        <f aca="false">IF($A27="","",SUMIFS(transactions!$I$2:$I$501,transactions!$C$2:$C$501,AJ$1,transactions!$B$2:$B$501,"&lt;="&amp;$A27))</f>
        <v/>
      </c>
    </row>
    <row r="28" customFormat="false" ht="15" hidden="false" customHeight="false" outlineLevel="0" collapsed="false">
      <c r="A28" s="20" t="str">
        <f aca="false">IF(prices!A28="","",prices!A28)</f>
        <v/>
      </c>
      <c r="B28" s="17" t="str">
        <f aca="false">IF($A28="","",SUMIFS(transactions!$I$2:$I$501,transactions!$C$2:$C$501,B$1,transactions!$B$2:$B$501,"&lt;="&amp;$A28))</f>
        <v/>
      </c>
      <c r="C28" s="17" t="str">
        <f aca="false">IF($A28="","",SUMIFS(transactions!$I$2:$I$501,transactions!$C$2:$C$501,C$1,transactions!$B$2:$B$501,"&lt;="&amp;$A28))</f>
        <v/>
      </c>
      <c r="D28" s="17" t="str">
        <f aca="false">IF($A28="","",SUMIFS(transactions!$I$2:$I$501,transactions!$C$2:$C$501,D$1,transactions!$B$2:$B$501,"&lt;="&amp;$A28))</f>
        <v/>
      </c>
      <c r="E28" s="17" t="str">
        <f aca="false">IF($A28="","",SUMIFS(transactions!$I$2:$I$501,transactions!$C$2:$C$501,E$1,transactions!$B$2:$B$501,"&lt;="&amp;$A28))</f>
        <v/>
      </c>
      <c r="F28" s="17" t="str">
        <f aca="false">IF($A28="","",SUMIFS(transactions!$I$2:$I$501,transactions!$C$2:$C$501,F$1,transactions!$B$2:$B$501,"&lt;="&amp;$A28))</f>
        <v/>
      </c>
      <c r="G28" s="17" t="str">
        <f aca="false">IF($A28="","",SUMIFS(transactions!$I$2:$I$501,transactions!$C$2:$C$501,G$1,transactions!$B$2:$B$501,"&lt;="&amp;$A28))</f>
        <v/>
      </c>
      <c r="H28" s="17" t="str">
        <f aca="false">IF($A28="","",SUMIFS(transactions!$I$2:$I$501,transactions!$C$2:$C$501,H$1,transactions!$B$2:$B$501,"&lt;="&amp;$A28))</f>
        <v/>
      </c>
      <c r="I28" s="17" t="str">
        <f aca="false">IF($A28="","",SUMIFS(transactions!$I$2:$I$501,transactions!$C$2:$C$501,I$1,transactions!$B$2:$B$501,"&lt;="&amp;$A28))</f>
        <v/>
      </c>
      <c r="J28" s="17" t="str">
        <f aca="false">IF($A28="","",SUMIFS(transactions!$I$2:$I$501,transactions!$C$2:$C$501,J$1,transactions!$B$2:$B$501,"&lt;="&amp;$A28))</f>
        <v/>
      </c>
      <c r="K28" s="17" t="str">
        <f aca="false">IF($A28="","",SUMIFS(transactions!$I$2:$I$501,transactions!$C$2:$C$501,K$1,transactions!$B$2:$B$501,"&lt;="&amp;$A28))</f>
        <v/>
      </c>
      <c r="L28" s="17" t="str">
        <f aca="false">IF($A28="","",SUMIFS(transactions!$I$2:$I$501,transactions!$C$2:$C$501,L$1,transactions!$B$2:$B$501,"&lt;="&amp;$A28))</f>
        <v/>
      </c>
      <c r="M28" s="17" t="str">
        <f aca="false">IF($A28="","",SUMIFS(transactions!$I$2:$I$501,transactions!$C$2:$C$501,M$1,transactions!$B$2:$B$501,"&lt;="&amp;$A28))</f>
        <v/>
      </c>
      <c r="N28" s="17" t="str">
        <f aca="false">IF($A28="","",SUMIFS(transactions!$I$2:$I$501,transactions!$C$2:$C$501,N$1,transactions!$B$2:$B$501,"&lt;="&amp;$A28))</f>
        <v/>
      </c>
      <c r="O28" s="17" t="str">
        <f aca="false">IF($A28="","",SUMIFS(transactions!$I$2:$I$501,transactions!$C$2:$C$501,O$1,transactions!$B$2:$B$501,"&lt;="&amp;$A28))</f>
        <v/>
      </c>
      <c r="P28" s="17" t="str">
        <f aca="false">IF($A28="","",SUMIFS(transactions!$I$2:$I$501,transactions!$C$2:$C$501,P$1,transactions!$B$2:$B$501,"&lt;="&amp;$A28))</f>
        <v/>
      </c>
      <c r="Q28" s="17" t="str">
        <f aca="false">IF($A28="","",SUMIFS(transactions!$I$2:$I$501,transactions!$C$2:$C$501,Q$1,transactions!$B$2:$B$501,"&lt;="&amp;$A28))</f>
        <v/>
      </c>
      <c r="R28" s="17" t="str">
        <f aca="false">IF($A28="","",SUMIFS(transactions!$I$2:$I$501,transactions!$C$2:$C$501,R$1,transactions!$B$2:$B$501,"&lt;="&amp;$A28))</f>
        <v/>
      </c>
      <c r="S28" s="17" t="str">
        <f aca="false">IF($A28="","",SUMIFS(transactions!$I$2:$I$501,transactions!$C$2:$C$501,S$1,transactions!$B$2:$B$501,"&lt;="&amp;$A28))</f>
        <v/>
      </c>
      <c r="T28" s="17" t="str">
        <f aca="false">IF($A28="","",SUMIFS(transactions!$I$2:$I$501,transactions!$C$2:$C$501,T$1,transactions!$B$2:$B$501,"&lt;="&amp;$A28))</f>
        <v/>
      </c>
      <c r="U28" s="17" t="str">
        <f aca="false">IF($A28="","",SUMIFS(transactions!$I$2:$I$501,transactions!$C$2:$C$501,U$1,transactions!$B$2:$B$501,"&lt;="&amp;$A28))</f>
        <v/>
      </c>
      <c r="V28" s="17" t="str">
        <f aca="false">IF($A28="","",SUMIFS(transactions!$I$2:$I$501,transactions!$C$2:$C$501,V$1,transactions!$B$2:$B$501,"&lt;="&amp;$A28))</f>
        <v/>
      </c>
      <c r="W28" s="17" t="str">
        <f aca="false">IF($A28="","",SUMIFS(transactions!$I$2:$I$501,transactions!$C$2:$C$501,W$1,transactions!$B$2:$B$501,"&lt;="&amp;$A28))</f>
        <v/>
      </c>
      <c r="X28" s="17" t="str">
        <f aca="false">IF($A28="","",SUMIFS(transactions!$I$2:$I$501,transactions!$C$2:$C$501,X$1,transactions!$B$2:$B$501,"&lt;="&amp;$A28))</f>
        <v/>
      </c>
      <c r="Y28" s="17" t="str">
        <f aca="false">IF($A28="","",SUMIFS(transactions!$I$2:$I$501,transactions!$C$2:$C$501,Y$1,transactions!$B$2:$B$501,"&lt;="&amp;$A28))</f>
        <v/>
      </c>
      <c r="Z28" s="17" t="str">
        <f aca="false">IF($A28="","",SUMIFS(transactions!$I$2:$I$501,transactions!$C$2:$C$501,Z$1,transactions!$B$2:$B$501,"&lt;="&amp;$A28))</f>
        <v/>
      </c>
      <c r="AA28" s="17" t="str">
        <f aca="false">IF($A28="","",SUMIFS(transactions!$I$2:$I$501,transactions!$C$2:$C$501,AA$1,transactions!$B$2:$B$501,"&lt;="&amp;$A28))</f>
        <v/>
      </c>
      <c r="AB28" s="17" t="str">
        <f aca="false">IF($A28="","",SUMIFS(transactions!$I$2:$I$501,transactions!$C$2:$C$501,AB$1,transactions!$B$2:$B$501,"&lt;="&amp;$A28))</f>
        <v/>
      </c>
      <c r="AC28" s="17" t="str">
        <f aca="false">IF($A28="","",SUMIFS(transactions!$I$2:$I$501,transactions!$C$2:$C$501,AC$1,transactions!$B$2:$B$501,"&lt;="&amp;$A28))</f>
        <v/>
      </c>
      <c r="AD28" s="17" t="str">
        <f aca="false">IF($A28="","",SUMIFS(transactions!$I$2:$I$501,transactions!$C$2:$C$501,AD$1,transactions!$B$2:$B$501,"&lt;="&amp;$A28))</f>
        <v/>
      </c>
      <c r="AE28" s="17" t="str">
        <f aca="false">IF($A28="","",SUMIFS(transactions!$I$2:$I$501,transactions!$C$2:$C$501,AE$1,transactions!$B$2:$B$501,"&lt;="&amp;$A28))</f>
        <v/>
      </c>
      <c r="AF28" s="17" t="str">
        <f aca="false">IF($A28="","",SUMIFS(transactions!$I$2:$I$501,transactions!$C$2:$C$501,AF$1,transactions!$B$2:$B$501,"&lt;="&amp;$A28))</f>
        <v/>
      </c>
      <c r="AG28" s="17" t="str">
        <f aca="false">IF($A28="","",SUMIFS(transactions!$I$2:$I$501,transactions!$C$2:$C$501,AG$1,transactions!$B$2:$B$501,"&lt;="&amp;$A28))</f>
        <v/>
      </c>
      <c r="AH28" s="17" t="str">
        <f aca="false">IF($A28="","",SUMIFS(transactions!$I$2:$I$501,transactions!$C$2:$C$501,AH$1,transactions!$B$2:$B$501,"&lt;="&amp;$A28))</f>
        <v/>
      </c>
      <c r="AI28" s="17" t="str">
        <f aca="false">IF($A28="","",SUMIFS(transactions!$I$2:$I$501,transactions!$C$2:$C$501,AI$1,transactions!$B$2:$B$501,"&lt;="&amp;$A28))</f>
        <v/>
      </c>
      <c r="AJ28" s="17" t="str">
        <f aca="false">IF($A28="","",SUMIFS(transactions!$I$2:$I$501,transactions!$C$2:$C$501,AJ$1,transactions!$B$2:$B$501,"&lt;="&amp;$A28))</f>
        <v/>
      </c>
    </row>
    <row r="29" customFormat="false" ht="15" hidden="false" customHeight="false" outlineLevel="0" collapsed="false">
      <c r="A29" s="20" t="str">
        <f aca="false">IF(prices!A29="","",prices!A29)</f>
        <v/>
      </c>
      <c r="B29" s="17" t="str">
        <f aca="false">IF($A29="","",SUMIFS(transactions!$I$2:$I$501,transactions!$C$2:$C$501,B$1,transactions!$B$2:$B$501,"&lt;="&amp;$A29))</f>
        <v/>
      </c>
      <c r="C29" s="17" t="str">
        <f aca="false">IF($A29="","",SUMIFS(transactions!$I$2:$I$501,transactions!$C$2:$C$501,C$1,transactions!$B$2:$B$501,"&lt;="&amp;$A29))</f>
        <v/>
      </c>
      <c r="D29" s="17" t="str">
        <f aca="false">IF($A29="","",SUMIFS(transactions!$I$2:$I$501,transactions!$C$2:$C$501,D$1,transactions!$B$2:$B$501,"&lt;="&amp;$A29))</f>
        <v/>
      </c>
      <c r="E29" s="17" t="str">
        <f aca="false">IF($A29="","",SUMIFS(transactions!$I$2:$I$501,transactions!$C$2:$C$501,E$1,transactions!$B$2:$B$501,"&lt;="&amp;$A29))</f>
        <v/>
      </c>
      <c r="F29" s="17" t="str">
        <f aca="false">IF($A29="","",SUMIFS(transactions!$I$2:$I$501,transactions!$C$2:$C$501,F$1,transactions!$B$2:$B$501,"&lt;="&amp;$A29))</f>
        <v/>
      </c>
      <c r="G29" s="17" t="str">
        <f aca="false">IF($A29="","",SUMIFS(transactions!$I$2:$I$501,transactions!$C$2:$C$501,G$1,transactions!$B$2:$B$501,"&lt;="&amp;$A29))</f>
        <v/>
      </c>
      <c r="H29" s="17" t="str">
        <f aca="false">IF($A29="","",SUMIFS(transactions!$I$2:$I$501,transactions!$C$2:$C$501,H$1,transactions!$B$2:$B$501,"&lt;="&amp;$A29))</f>
        <v/>
      </c>
      <c r="I29" s="17" t="str">
        <f aca="false">IF($A29="","",SUMIFS(transactions!$I$2:$I$501,transactions!$C$2:$C$501,I$1,transactions!$B$2:$B$501,"&lt;="&amp;$A29))</f>
        <v/>
      </c>
      <c r="J29" s="17" t="str">
        <f aca="false">IF($A29="","",SUMIFS(transactions!$I$2:$I$501,transactions!$C$2:$C$501,J$1,transactions!$B$2:$B$501,"&lt;="&amp;$A29))</f>
        <v/>
      </c>
      <c r="K29" s="17" t="str">
        <f aca="false">IF($A29="","",SUMIFS(transactions!$I$2:$I$501,transactions!$C$2:$C$501,K$1,transactions!$B$2:$B$501,"&lt;="&amp;$A29))</f>
        <v/>
      </c>
      <c r="L29" s="17" t="str">
        <f aca="false">IF($A29="","",SUMIFS(transactions!$I$2:$I$501,transactions!$C$2:$C$501,L$1,transactions!$B$2:$B$501,"&lt;="&amp;$A29))</f>
        <v/>
      </c>
      <c r="M29" s="17" t="str">
        <f aca="false">IF($A29="","",SUMIFS(transactions!$I$2:$I$501,transactions!$C$2:$C$501,M$1,transactions!$B$2:$B$501,"&lt;="&amp;$A29))</f>
        <v/>
      </c>
      <c r="N29" s="17" t="str">
        <f aca="false">IF($A29="","",SUMIFS(transactions!$I$2:$I$501,transactions!$C$2:$C$501,N$1,transactions!$B$2:$B$501,"&lt;="&amp;$A29))</f>
        <v/>
      </c>
      <c r="O29" s="17" t="str">
        <f aca="false">IF($A29="","",SUMIFS(transactions!$I$2:$I$501,transactions!$C$2:$C$501,O$1,transactions!$B$2:$B$501,"&lt;="&amp;$A29))</f>
        <v/>
      </c>
      <c r="P29" s="17" t="str">
        <f aca="false">IF($A29="","",SUMIFS(transactions!$I$2:$I$501,transactions!$C$2:$C$501,P$1,transactions!$B$2:$B$501,"&lt;="&amp;$A29))</f>
        <v/>
      </c>
      <c r="Q29" s="17" t="str">
        <f aca="false">IF($A29="","",SUMIFS(transactions!$I$2:$I$501,transactions!$C$2:$C$501,Q$1,transactions!$B$2:$B$501,"&lt;="&amp;$A29))</f>
        <v/>
      </c>
      <c r="R29" s="17" t="str">
        <f aca="false">IF($A29="","",SUMIFS(transactions!$I$2:$I$501,transactions!$C$2:$C$501,R$1,transactions!$B$2:$B$501,"&lt;="&amp;$A29))</f>
        <v/>
      </c>
      <c r="S29" s="17" t="str">
        <f aca="false">IF($A29="","",SUMIFS(transactions!$I$2:$I$501,transactions!$C$2:$C$501,S$1,transactions!$B$2:$B$501,"&lt;="&amp;$A29))</f>
        <v/>
      </c>
      <c r="T29" s="17" t="str">
        <f aca="false">IF($A29="","",SUMIFS(transactions!$I$2:$I$501,transactions!$C$2:$C$501,T$1,transactions!$B$2:$B$501,"&lt;="&amp;$A29))</f>
        <v/>
      </c>
      <c r="U29" s="17" t="str">
        <f aca="false">IF($A29="","",SUMIFS(transactions!$I$2:$I$501,transactions!$C$2:$C$501,U$1,transactions!$B$2:$B$501,"&lt;="&amp;$A29))</f>
        <v/>
      </c>
      <c r="V29" s="17" t="str">
        <f aca="false">IF($A29="","",SUMIFS(transactions!$I$2:$I$501,transactions!$C$2:$C$501,V$1,transactions!$B$2:$B$501,"&lt;="&amp;$A29))</f>
        <v/>
      </c>
      <c r="W29" s="17" t="str">
        <f aca="false">IF($A29="","",SUMIFS(transactions!$I$2:$I$501,transactions!$C$2:$C$501,W$1,transactions!$B$2:$B$501,"&lt;="&amp;$A29))</f>
        <v/>
      </c>
      <c r="X29" s="17" t="str">
        <f aca="false">IF($A29="","",SUMIFS(transactions!$I$2:$I$501,transactions!$C$2:$C$501,X$1,transactions!$B$2:$B$501,"&lt;="&amp;$A29))</f>
        <v/>
      </c>
      <c r="Y29" s="17" t="str">
        <f aca="false">IF($A29="","",SUMIFS(transactions!$I$2:$I$501,transactions!$C$2:$C$501,Y$1,transactions!$B$2:$B$501,"&lt;="&amp;$A29))</f>
        <v/>
      </c>
      <c r="Z29" s="17" t="str">
        <f aca="false">IF($A29="","",SUMIFS(transactions!$I$2:$I$501,transactions!$C$2:$C$501,Z$1,transactions!$B$2:$B$501,"&lt;="&amp;$A29))</f>
        <v/>
      </c>
      <c r="AA29" s="17" t="str">
        <f aca="false">IF($A29="","",SUMIFS(transactions!$I$2:$I$501,transactions!$C$2:$C$501,AA$1,transactions!$B$2:$B$501,"&lt;="&amp;$A29))</f>
        <v/>
      </c>
      <c r="AB29" s="17" t="str">
        <f aca="false">IF($A29="","",SUMIFS(transactions!$I$2:$I$501,transactions!$C$2:$C$501,AB$1,transactions!$B$2:$B$501,"&lt;="&amp;$A29))</f>
        <v/>
      </c>
      <c r="AC29" s="17" t="str">
        <f aca="false">IF($A29="","",SUMIFS(transactions!$I$2:$I$501,transactions!$C$2:$C$501,AC$1,transactions!$B$2:$B$501,"&lt;="&amp;$A29))</f>
        <v/>
      </c>
      <c r="AD29" s="17" t="str">
        <f aca="false">IF($A29="","",SUMIFS(transactions!$I$2:$I$501,transactions!$C$2:$C$501,AD$1,transactions!$B$2:$B$501,"&lt;="&amp;$A29))</f>
        <v/>
      </c>
      <c r="AE29" s="17" t="str">
        <f aca="false">IF($A29="","",SUMIFS(transactions!$I$2:$I$501,transactions!$C$2:$C$501,AE$1,transactions!$B$2:$B$501,"&lt;="&amp;$A29))</f>
        <v/>
      </c>
      <c r="AF29" s="17" t="str">
        <f aca="false">IF($A29="","",SUMIFS(transactions!$I$2:$I$501,transactions!$C$2:$C$501,AF$1,transactions!$B$2:$B$501,"&lt;="&amp;$A29))</f>
        <v/>
      </c>
      <c r="AG29" s="17" t="str">
        <f aca="false">IF($A29="","",SUMIFS(transactions!$I$2:$I$501,transactions!$C$2:$C$501,AG$1,transactions!$B$2:$B$501,"&lt;="&amp;$A29))</f>
        <v/>
      </c>
      <c r="AH29" s="17" t="str">
        <f aca="false">IF($A29="","",SUMIFS(transactions!$I$2:$I$501,transactions!$C$2:$C$501,AH$1,transactions!$B$2:$B$501,"&lt;="&amp;$A29))</f>
        <v/>
      </c>
      <c r="AI29" s="17" t="str">
        <f aca="false">IF($A29="","",SUMIFS(transactions!$I$2:$I$501,transactions!$C$2:$C$501,AI$1,transactions!$B$2:$B$501,"&lt;="&amp;$A29))</f>
        <v/>
      </c>
      <c r="AJ29" s="17" t="str">
        <f aca="false">IF($A29="","",SUMIFS(transactions!$I$2:$I$501,transactions!$C$2:$C$501,AJ$1,transactions!$B$2:$B$501,"&lt;="&amp;$A29))</f>
        <v/>
      </c>
    </row>
    <row r="30" customFormat="false" ht="15" hidden="false" customHeight="false" outlineLevel="0" collapsed="false">
      <c r="A30" s="20" t="str">
        <f aca="false">IF(prices!A30="","",prices!A30)</f>
        <v/>
      </c>
      <c r="B30" s="17" t="str">
        <f aca="false">IF($A30="","",SUMIFS(transactions!$I$2:$I$501,transactions!$C$2:$C$501,B$1,transactions!$B$2:$B$501,"&lt;="&amp;$A30))</f>
        <v/>
      </c>
      <c r="C30" s="17" t="str">
        <f aca="false">IF($A30="","",SUMIFS(transactions!$I$2:$I$501,transactions!$C$2:$C$501,C$1,transactions!$B$2:$B$501,"&lt;="&amp;$A30))</f>
        <v/>
      </c>
      <c r="D30" s="17" t="str">
        <f aca="false">IF($A30="","",SUMIFS(transactions!$I$2:$I$501,transactions!$C$2:$C$501,D$1,transactions!$B$2:$B$501,"&lt;="&amp;$A30))</f>
        <v/>
      </c>
      <c r="E30" s="17" t="str">
        <f aca="false">IF($A30="","",SUMIFS(transactions!$I$2:$I$501,transactions!$C$2:$C$501,E$1,transactions!$B$2:$B$501,"&lt;="&amp;$A30))</f>
        <v/>
      </c>
      <c r="F30" s="17" t="str">
        <f aca="false">IF($A30="","",SUMIFS(transactions!$I$2:$I$501,transactions!$C$2:$C$501,F$1,transactions!$B$2:$B$501,"&lt;="&amp;$A30))</f>
        <v/>
      </c>
      <c r="G30" s="17" t="str">
        <f aca="false">IF($A30="","",SUMIFS(transactions!$I$2:$I$501,transactions!$C$2:$C$501,G$1,transactions!$B$2:$B$501,"&lt;="&amp;$A30))</f>
        <v/>
      </c>
      <c r="H30" s="17" t="str">
        <f aca="false">IF($A30="","",SUMIFS(transactions!$I$2:$I$501,transactions!$C$2:$C$501,H$1,transactions!$B$2:$B$501,"&lt;="&amp;$A30))</f>
        <v/>
      </c>
      <c r="I30" s="17" t="str">
        <f aca="false">IF($A30="","",SUMIFS(transactions!$I$2:$I$501,transactions!$C$2:$C$501,I$1,transactions!$B$2:$B$501,"&lt;="&amp;$A30))</f>
        <v/>
      </c>
      <c r="J30" s="17" t="str">
        <f aca="false">IF($A30="","",SUMIFS(transactions!$I$2:$I$501,transactions!$C$2:$C$501,J$1,transactions!$B$2:$B$501,"&lt;="&amp;$A30))</f>
        <v/>
      </c>
      <c r="K30" s="17" t="str">
        <f aca="false">IF($A30="","",SUMIFS(transactions!$I$2:$I$501,transactions!$C$2:$C$501,K$1,transactions!$B$2:$B$501,"&lt;="&amp;$A30))</f>
        <v/>
      </c>
      <c r="L30" s="17" t="str">
        <f aca="false">IF($A30="","",SUMIFS(transactions!$I$2:$I$501,transactions!$C$2:$C$501,L$1,transactions!$B$2:$B$501,"&lt;="&amp;$A30))</f>
        <v/>
      </c>
      <c r="M30" s="17" t="str">
        <f aca="false">IF($A30="","",SUMIFS(transactions!$I$2:$I$501,transactions!$C$2:$C$501,M$1,transactions!$B$2:$B$501,"&lt;="&amp;$A30))</f>
        <v/>
      </c>
      <c r="N30" s="17" t="str">
        <f aca="false">IF($A30="","",SUMIFS(transactions!$I$2:$I$501,transactions!$C$2:$C$501,N$1,transactions!$B$2:$B$501,"&lt;="&amp;$A30))</f>
        <v/>
      </c>
      <c r="O30" s="17" t="str">
        <f aca="false">IF($A30="","",SUMIFS(transactions!$I$2:$I$501,transactions!$C$2:$C$501,O$1,transactions!$B$2:$B$501,"&lt;="&amp;$A30))</f>
        <v/>
      </c>
      <c r="P30" s="17" t="str">
        <f aca="false">IF($A30="","",SUMIFS(transactions!$I$2:$I$501,transactions!$C$2:$C$501,P$1,transactions!$B$2:$B$501,"&lt;="&amp;$A30))</f>
        <v/>
      </c>
      <c r="Q30" s="17" t="str">
        <f aca="false">IF($A30="","",SUMIFS(transactions!$I$2:$I$501,transactions!$C$2:$C$501,Q$1,transactions!$B$2:$B$501,"&lt;="&amp;$A30))</f>
        <v/>
      </c>
      <c r="R30" s="17" t="str">
        <f aca="false">IF($A30="","",SUMIFS(transactions!$I$2:$I$501,transactions!$C$2:$C$501,R$1,transactions!$B$2:$B$501,"&lt;="&amp;$A30))</f>
        <v/>
      </c>
      <c r="S30" s="17" t="str">
        <f aca="false">IF($A30="","",SUMIFS(transactions!$I$2:$I$501,transactions!$C$2:$C$501,S$1,transactions!$B$2:$B$501,"&lt;="&amp;$A30))</f>
        <v/>
      </c>
      <c r="T30" s="17" t="str">
        <f aca="false">IF($A30="","",SUMIFS(transactions!$I$2:$I$501,transactions!$C$2:$C$501,T$1,transactions!$B$2:$B$501,"&lt;="&amp;$A30))</f>
        <v/>
      </c>
      <c r="U30" s="17" t="str">
        <f aca="false">IF($A30="","",SUMIFS(transactions!$I$2:$I$501,transactions!$C$2:$C$501,U$1,transactions!$B$2:$B$501,"&lt;="&amp;$A30))</f>
        <v/>
      </c>
      <c r="V30" s="17" t="str">
        <f aca="false">IF($A30="","",SUMIFS(transactions!$I$2:$I$501,transactions!$C$2:$C$501,V$1,transactions!$B$2:$B$501,"&lt;="&amp;$A30))</f>
        <v/>
      </c>
      <c r="W30" s="17" t="str">
        <f aca="false">IF($A30="","",SUMIFS(transactions!$I$2:$I$501,transactions!$C$2:$C$501,W$1,transactions!$B$2:$B$501,"&lt;="&amp;$A30))</f>
        <v/>
      </c>
      <c r="X30" s="17" t="str">
        <f aca="false">IF($A30="","",SUMIFS(transactions!$I$2:$I$501,transactions!$C$2:$C$501,X$1,transactions!$B$2:$B$501,"&lt;="&amp;$A30))</f>
        <v/>
      </c>
      <c r="Y30" s="17" t="str">
        <f aca="false">IF($A30="","",SUMIFS(transactions!$I$2:$I$501,transactions!$C$2:$C$501,Y$1,transactions!$B$2:$B$501,"&lt;="&amp;$A30))</f>
        <v/>
      </c>
      <c r="Z30" s="17" t="str">
        <f aca="false">IF($A30="","",SUMIFS(transactions!$I$2:$I$501,transactions!$C$2:$C$501,Z$1,transactions!$B$2:$B$501,"&lt;="&amp;$A30))</f>
        <v/>
      </c>
      <c r="AA30" s="17" t="str">
        <f aca="false">IF($A30="","",SUMIFS(transactions!$I$2:$I$501,transactions!$C$2:$C$501,AA$1,transactions!$B$2:$B$501,"&lt;="&amp;$A30))</f>
        <v/>
      </c>
      <c r="AB30" s="17" t="str">
        <f aca="false">IF($A30="","",SUMIFS(transactions!$I$2:$I$501,transactions!$C$2:$C$501,AB$1,transactions!$B$2:$B$501,"&lt;="&amp;$A30))</f>
        <v/>
      </c>
      <c r="AC30" s="17" t="str">
        <f aca="false">IF($A30="","",SUMIFS(transactions!$I$2:$I$501,transactions!$C$2:$C$501,AC$1,transactions!$B$2:$B$501,"&lt;="&amp;$A30))</f>
        <v/>
      </c>
      <c r="AD30" s="17" t="str">
        <f aca="false">IF($A30="","",SUMIFS(transactions!$I$2:$I$501,transactions!$C$2:$C$501,AD$1,transactions!$B$2:$B$501,"&lt;="&amp;$A30))</f>
        <v/>
      </c>
      <c r="AE30" s="17" t="str">
        <f aca="false">IF($A30="","",SUMIFS(transactions!$I$2:$I$501,transactions!$C$2:$C$501,AE$1,transactions!$B$2:$B$501,"&lt;="&amp;$A30))</f>
        <v/>
      </c>
      <c r="AF30" s="17" t="str">
        <f aca="false">IF($A30="","",SUMIFS(transactions!$I$2:$I$501,transactions!$C$2:$C$501,AF$1,transactions!$B$2:$B$501,"&lt;="&amp;$A30))</f>
        <v/>
      </c>
      <c r="AG30" s="17" t="str">
        <f aca="false">IF($A30="","",SUMIFS(transactions!$I$2:$I$501,transactions!$C$2:$C$501,AG$1,transactions!$B$2:$B$501,"&lt;="&amp;$A30))</f>
        <v/>
      </c>
      <c r="AH30" s="17" t="str">
        <f aca="false">IF($A30="","",SUMIFS(transactions!$I$2:$I$501,transactions!$C$2:$C$501,AH$1,transactions!$B$2:$B$501,"&lt;="&amp;$A30))</f>
        <v/>
      </c>
      <c r="AI30" s="17" t="str">
        <f aca="false">IF($A30="","",SUMIFS(transactions!$I$2:$I$501,transactions!$C$2:$C$501,AI$1,transactions!$B$2:$B$501,"&lt;="&amp;$A30))</f>
        <v/>
      </c>
      <c r="AJ30" s="17" t="str">
        <f aca="false">IF($A30="","",SUMIFS(transactions!$I$2:$I$501,transactions!$C$2:$C$501,AJ$1,transactions!$B$2:$B$501,"&lt;="&amp;$A30))</f>
        <v/>
      </c>
    </row>
    <row r="31" customFormat="false" ht="15" hidden="false" customHeight="false" outlineLevel="0" collapsed="false">
      <c r="A31" s="20" t="str">
        <f aca="false">IF(prices!A31="","",prices!A31)</f>
        <v/>
      </c>
      <c r="B31" s="17" t="str">
        <f aca="false">IF($A31="","",SUMIFS(transactions!$I$2:$I$501,transactions!$C$2:$C$501,B$1,transactions!$B$2:$B$501,"&lt;="&amp;$A31))</f>
        <v/>
      </c>
      <c r="C31" s="17" t="str">
        <f aca="false">IF($A31="","",SUMIFS(transactions!$I$2:$I$501,transactions!$C$2:$C$501,C$1,transactions!$B$2:$B$501,"&lt;="&amp;$A31))</f>
        <v/>
      </c>
      <c r="D31" s="17" t="str">
        <f aca="false">IF($A31="","",SUMIFS(transactions!$I$2:$I$501,transactions!$C$2:$C$501,D$1,transactions!$B$2:$B$501,"&lt;="&amp;$A31))</f>
        <v/>
      </c>
      <c r="E31" s="17" t="str">
        <f aca="false">IF($A31="","",SUMIFS(transactions!$I$2:$I$501,transactions!$C$2:$C$501,E$1,transactions!$B$2:$B$501,"&lt;="&amp;$A31))</f>
        <v/>
      </c>
      <c r="F31" s="17" t="str">
        <f aca="false">IF($A31="","",SUMIFS(transactions!$I$2:$I$501,transactions!$C$2:$C$501,F$1,transactions!$B$2:$B$501,"&lt;="&amp;$A31))</f>
        <v/>
      </c>
      <c r="G31" s="17" t="str">
        <f aca="false">IF($A31="","",SUMIFS(transactions!$I$2:$I$501,transactions!$C$2:$C$501,G$1,transactions!$B$2:$B$501,"&lt;="&amp;$A31))</f>
        <v/>
      </c>
      <c r="H31" s="17" t="str">
        <f aca="false">IF($A31="","",SUMIFS(transactions!$I$2:$I$501,transactions!$C$2:$C$501,H$1,transactions!$B$2:$B$501,"&lt;="&amp;$A31))</f>
        <v/>
      </c>
      <c r="I31" s="17" t="str">
        <f aca="false">IF($A31="","",SUMIFS(transactions!$I$2:$I$501,transactions!$C$2:$C$501,I$1,transactions!$B$2:$B$501,"&lt;="&amp;$A31))</f>
        <v/>
      </c>
      <c r="J31" s="17" t="str">
        <f aca="false">IF($A31="","",SUMIFS(transactions!$I$2:$I$501,transactions!$C$2:$C$501,J$1,transactions!$B$2:$B$501,"&lt;="&amp;$A31))</f>
        <v/>
      </c>
      <c r="K31" s="17" t="str">
        <f aca="false">IF($A31="","",SUMIFS(transactions!$I$2:$I$501,transactions!$C$2:$C$501,K$1,transactions!$B$2:$B$501,"&lt;="&amp;$A31))</f>
        <v/>
      </c>
      <c r="L31" s="17" t="str">
        <f aca="false">IF($A31="","",SUMIFS(transactions!$I$2:$I$501,transactions!$C$2:$C$501,L$1,transactions!$B$2:$B$501,"&lt;="&amp;$A31))</f>
        <v/>
      </c>
      <c r="M31" s="17" t="str">
        <f aca="false">IF($A31="","",SUMIFS(transactions!$I$2:$I$501,transactions!$C$2:$C$501,M$1,transactions!$B$2:$B$501,"&lt;="&amp;$A31))</f>
        <v/>
      </c>
      <c r="N31" s="17" t="str">
        <f aca="false">IF($A31="","",SUMIFS(transactions!$I$2:$I$501,transactions!$C$2:$C$501,N$1,transactions!$B$2:$B$501,"&lt;="&amp;$A31))</f>
        <v/>
      </c>
      <c r="O31" s="17" t="str">
        <f aca="false">IF($A31="","",SUMIFS(transactions!$I$2:$I$501,transactions!$C$2:$C$501,O$1,transactions!$B$2:$B$501,"&lt;="&amp;$A31))</f>
        <v/>
      </c>
      <c r="P31" s="17" t="str">
        <f aca="false">IF($A31="","",SUMIFS(transactions!$I$2:$I$501,transactions!$C$2:$C$501,P$1,transactions!$B$2:$B$501,"&lt;="&amp;$A31))</f>
        <v/>
      </c>
      <c r="Q31" s="17" t="str">
        <f aca="false">IF($A31="","",SUMIFS(transactions!$I$2:$I$501,transactions!$C$2:$C$501,Q$1,transactions!$B$2:$B$501,"&lt;="&amp;$A31))</f>
        <v/>
      </c>
      <c r="R31" s="17" t="str">
        <f aca="false">IF($A31="","",SUMIFS(transactions!$I$2:$I$501,transactions!$C$2:$C$501,R$1,transactions!$B$2:$B$501,"&lt;="&amp;$A31))</f>
        <v/>
      </c>
      <c r="S31" s="17" t="str">
        <f aca="false">IF($A31="","",SUMIFS(transactions!$I$2:$I$501,transactions!$C$2:$C$501,S$1,transactions!$B$2:$B$501,"&lt;="&amp;$A31))</f>
        <v/>
      </c>
      <c r="T31" s="17" t="str">
        <f aca="false">IF($A31="","",SUMIFS(transactions!$I$2:$I$501,transactions!$C$2:$C$501,T$1,transactions!$B$2:$B$501,"&lt;="&amp;$A31))</f>
        <v/>
      </c>
      <c r="U31" s="17" t="str">
        <f aca="false">IF($A31="","",SUMIFS(transactions!$I$2:$I$501,transactions!$C$2:$C$501,U$1,transactions!$B$2:$B$501,"&lt;="&amp;$A31))</f>
        <v/>
      </c>
      <c r="V31" s="17" t="str">
        <f aca="false">IF($A31="","",SUMIFS(transactions!$I$2:$I$501,transactions!$C$2:$C$501,V$1,transactions!$B$2:$B$501,"&lt;="&amp;$A31))</f>
        <v/>
      </c>
      <c r="W31" s="17" t="str">
        <f aca="false">IF($A31="","",SUMIFS(transactions!$I$2:$I$501,transactions!$C$2:$C$501,W$1,transactions!$B$2:$B$501,"&lt;="&amp;$A31))</f>
        <v/>
      </c>
      <c r="X31" s="17" t="str">
        <f aca="false">IF($A31="","",SUMIFS(transactions!$I$2:$I$501,transactions!$C$2:$C$501,X$1,transactions!$B$2:$B$501,"&lt;="&amp;$A31))</f>
        <v/>
      </c>
      <c r="Y31" s="17" t="str">
        <f aca="false">IF($A31="","",SUMIFS(transactions!$I$2:$I$501,transactions!$C$2:$C$501,Y$1,transactions!$B$2:$B$501,"&lt;="&amp;$A31))</f>
        <v/>
      </c>
      <c r="Z31" s="17" t="str">
        <f aca="false">IF($A31="","",SUMIFS(transactions!$I$2:$I$501,transactions!$C$2:$C$501,Z$1,transactions!$B$2:$B$501,"&lt;="&amp;$A31))</f>
        <v/>
      </c>
      <c r="AA31" s="17" t="str">
        <f aca="false">IF($A31="","",SUMIFS(transactions!$I$2:$I$501,transactions!$C$2:$C$501,AA$1,transactions!$B$2:$B$501,"&lt;="&amp;$A31))</f>
        <v/>
      </c>
      <c r="AB31" s="17" t="str">
        <f aca="false">IF($A31="","",SUMIFS(transactions!$I$2:$I$501,transactions!$C$2:$C$501,AB$1,transactions!$B$2:$B$501,"&lt;="&amp;$A31))</f>
        <v/>
      </c>
      <c r="AC31" s="17" t="str">
        <f aca="false">IF($A31="","",SUMIFS(transactions!$I$2:$I$501,transactions!$C$2:$C$501,AC$1,transactions!$B$2:$B$501,"&lt;="&amp;$A31))</f>
        <v/>
      </c>
      <c r="AD31" s="17" t="str">
        <f aca="false">IF($A31="","",SUMIFS(transactions!$I$2:$I$501,transactions!$C$2:$C$501,AD$1,transactions!$B$2:$B$501,"&lt;="&amp;$A31))</f>
        <v/>
      </c>
      <c r="AE31" s="17" t="str">
        <f aca="false">IF($A31="","",SUMIFS(transactions!$I$2:$I$501,transactions!$C$2:$C$501,AE$1,transactions!$B$2:$B$501,"&lt;="&amp;$A31))</f>
        <v/>
      </c>
      <c r="AF31" s="17" t="str">
        <f aca="false">IF($A31="","",SUMIFS(transactions!$I$2:$I$501,transactions!$C$2:$C$501,AF$1,transactions!$B$2:$B$501,"&lt;="&amp;$A31))</f>
        <v/>
      </c>
      <c r="AG31" s="17" t="str">
        <f aca="false">IF($A31="","",SUMIFS(transactions!$I$2:$I$501,transactions!$C$2:$C$501,AG$1,transactions!$B$2:$B$501,"&lt;="&amp;$A31))</f>
        <v/>
      </c>
      <c r="AH31" s="17" t="str">
        <f aca="false">IF($A31="","",SUMIFS(transactions!$I$2:$I$501,transactions!$C$2:$C$501,AH$1,transactions!$B$2:$B$501,"&lt;="&amp;$A31))</f>
        <v/>
      </c>
      <c r="AI31" s="17" t="str">
        <f aca="false">IF($A31="","",SUMIFS(transactions!$I$2:$I$501,transactions!$C$2:$C$501,AI$1,transactions!$B$2:$B$501,"&lt;="&amp;$A31))</f>
        <v/>
      </c>
      <c r="AJ31" s="17" t="str">
        <f aca="false">IF($A31="","",SUMIFS(transactions!$I$2:$I$501,transactions!$C$2:$C$501,AJ$1,transactions!$B$2:$B$501,"&lt;="&amp;$A31))</f>
        <v/>
      </c>
    </row>
    <row r="32" customFormat="false" ht="15" hidden="false" customHeight="false" outlineLevel="0" collapsed="false">
      <c r="A32" s="20" t="str">
        <f aca="false">IF(prices!A32="","",prices!A32)</f>
        <v/>
      </c>
      <c r="B32" s="17" t="str">
        <f aca="false">IF($A32="","",SUMIFS(transactions!$I$2:$I$501,transactions!$C$2:$C$501,B$1,transactions!$B$2:$B$501,"&lt;="&amp;$A32))</f>
        <v/>
      </c>
      <c r="C32" s="17" t="str">
        <f aca="false">IF($A32="","",SUMIFS(transactions!$I$2:$I$501,transactions!$C$2:$C$501,C$1,transactions!$B$2:$B$501,"&lt;="&amp;$A32))</f>
        <v/>
      </c>
      <c r="D32" s="17" t="str">
        <f aca="false">IF($A32="","",SUMIFS(transactions!$I$2:$I$501,transactions!$C$2:$C$501,D$1,transactions!$B$2:$B$501,"&lt;="&amp;$A32))</f>
        <v/>
      </c>
      <c r="E32" s="17" t="str">
        <f aca="false">IF($A32="","",SUMIFS(transactions!$I$2:$I$501,transactions!$C$2:$C$501,E$1,transactions!$B$2:$B$501,"&lt;="&amp;$A32))</f>
        <v/>
      </c>
      <c r="F32" s="17" t="str">
        <f aca="false">IF($A32="","",SUMIFS(transactions!$I$2:$I$501,transactions!$C$2:$C$501,F$1,transactions!$B$2:$B$501,"&lt;="&amp;$A32))</f>
        <v/>
      </c>
      <c r="G32" s="17" t="str">
        <f aca="false">IF($A32="","",SUMIFS(transactions!$I$2:$I$501,transactions!$C$2:$C$501,G$1,transactions!$B$2:$B$501,"&lt;="&amp;$A32))</f>
        <v/>
      </c>
      <c r="H32" s="17" t="str">
        <f aca="false">IF($A32="","",SUMIFS(transactions!$I$2:$I$501,transactions!$C$2:$C$501,H$1,transactions!$B$2:$B$501,"&lt;="&amp;$A32))</f>
        <v/>
      </c>
      <c r="I32" s="17" t="str">
        <f aca="false">IF($A32="","",SUMIFS(transactions!$I$2:$I$501,transactions!$C$2:$C$501,I$1,transactions!$B$2:$B$501,"&lt;="&amp;$A32))</f>
        <v/>
      </c>
      <c r="J32" s="17" t="str">
        <f aca="false">IF($A32="","",SUMIFS(transactions!$I$2:$I$501,transactions!$C$2:$C$501,J$1,transactions!$B$2:$B$501,"&lt;="&amp;$A32))</f>
        <v/>
      </c>
      <c r="K32" s="17" t="str">
        <f aca="false">IF($A32="","",SUMIFS(transactions!$I$2:$I$501,transactions!$C$2:$C$501,K$1,transactions!$B$2:$B$501,"&lt;="&amp;$A32))</f>
        <v/>
      </c>
      <c r="L32" s="17" t="str">
        <f aca="false">IF($A32="","",SUMIFS(transactions!$I$2:$I$501,transactions!$C$2:$C$501,L$1,transactions!$B$2:$B$501,"&lt;="&amp;$A32))</f>
        <v/>
      </c>
      <c r="M32" s="17" t="str">
        <f aca="false">IF($A32="","",SUMIFS(transactions!$I$2:$I$501,transactions!$C$2:$C$501,M$1,transactions!$B$2:$B$501,"&lt;="&amp;$A32))</f>
        <v/>
      </c>
      <c r="N32" s="17" t="str">
        <f aca="false">IF($A32="","",SUMIFS(transactions!$I$2:$I$501,transactions!$C$2:$C$501,N$1,transactions!$B$2:$B$501,"&lt;="&amp;$A32))</f>
        <v/>
      </c>
      <c r="O32" s="17" t="str">
        <f aca="false">IF($A32="","",SUMIFS(transactions!$I$2:$I$501,transactions!$C$2:$C$501,O$1,transactions!$B$2:$B$501,"&lt;="&amp;$A32))</f>
        <v/>
      </c>
      <c r="P32" s="17" t="str">
        <f aca="false">IF($A32="","",SUMIFS(transactions!$I$2:$I$501,transactions!$C$2:$C$501,P$1,transactions!$B$2:$B$501,"&lt;="&amp;$A32))</f>
        <v/>
      </c>
      <c r="Q32" s="17" t="str">
        <f aca="false">IF($A32="","",SUMIFS(transactions!$I$2:$I$501,transactions!$C$2:$C$501,Q$1,transactions!$B$2:$B$501,"&lt;="&amp;$A32))</f>
        <v/>
      </c>
      <c r="R32" s="17" t="str">
        <f aca="false">IF($A32="","",SUMIFS(transactions!$I$2:$I$501,transactions!$C$2:$C$501,R$1,transactions!$B$2:$B$501,"&lt;="&amp;$A32))</f>
        <v/>
      </c>
      <c r="S32" s="17" t="str">
        <f aca="false">IF($A32="","",SUMIFS(transactions!$I$2:$I$501,transactions!$C$2:$C$501,S$1,transactions!$B$2:$B$501,"&lt;="&amp;$A32))</f>
        <v/>
      </c>
      <c r="T32" s="17" t="str">
        <f aca="false">IF($A32="","",SUMIFS(transactions!$I$2:$I$501,transactions!$C$2:$C$501,T$1,transactions!$B$2:$B$501,"&lt;="&amp;$A32))</f>
        <v/>
      </c>
      <c r="U32" s="17" t="str">
        <f aca="false">IF($A32="","",SUMIFS(transactions!$I$2:$I$501,transactions!$C$2:$C$501,U$1,transactions!$B$2:$B$501,"&lt;="&amp;$A32))</f>
        <v/>
      </c>
      <c r="V32" s="17" t="str">
        <f aca="false">IF($A32="","",SUMIFS(transactions!$I$2:$I$501,transactions!$C$2:$C$501,V$1,transactions!$B$2:$B$501,"&lt;="&amp;$A32))</f>
        <v/>
      </c>
      <c r="W32" s="17" t="str">
        <f aca="false">IF($A32="","",SUMIFS(transactions!$I$2:$I$501,transactions!$C$2:$C$501,W$1,transactions!$B$2:$B$501,"&lt;="&amp;$A32))</f>
        <v/>
      </c>
      <c r="X32" s="17" t="str">
        <f aca="false">IF($A32="","",SUMIFS(transactions!$I$2:$I$501,transactions!$C$2:$C$501,X$1,transactions!$B$2:$B$501,"&lt;="&amp;$A32))</f>
        <v/>
      </c>
      <c r="Y32" s="17" t="str">
        <f aca="false">IF($A32="","",SUMIFS(transactions!$I$2:$I$501,transactions!$C$2:$C$501,Y$1,transactions!$B$2:$B$501,"&lt;="&amp;$A32))</f>
        <v/>
      </c>
      <c r="Z32" s="17" t="str">
        <f aca="false">IF($A32="","",SUMIFS(transactions!$I$2:$I$501,transactions!$C$2:$C$501,Z$1,transactions!$B$2:$B$501,"&lt;="&amp;$A32))</f>
        <v/>
      </c>
      <c r="AA32" s="17" t="str">
        <f aca="false">IF($A32="","",SUMIFS(transactions!$I$2:$I$501,transactions!$C$2:$C$501,AA$1,transactions!$B$2:$B$501,"&lt;="&amp;$A32))</f>
        <v/>
      </c>
      <c r="AB32" s="17" t="str">
        <f aca="false">IF($A32="","",SUMIFS(transactions!$I$2:$I$501,transactions!$C$2:$C$501,AB$1,transactions!$B$2:$B$501,"&lt;="&amp;$A32))</f>
        <v/>
      </c>
      <c r="AC32" s="17" t="str">
        <f aca="false">IF($A32="","",SUMIFS(transactions!$I$2:$I$501,transactions!$C$2:$C$501,AC$1,transactions!$B$2:$B$501,"&lt;="&amp;$A32))</f>
        <v/>
      </c>
      <c r="AD32" s="17" t="str">
        <f aca="false">IF($A32="","",SUMIFS(transactions!$I$2:$I$501,transactions!$C$2:$C$501,AD$1,transactions!$B$2:$B$501,"&lt;="&amp;$A32))</f>
        <v/>
      </c>
      <c r="AE32" s="17" t="str">
        <f aca="false">IF($A32="","",SUMIFS(transactions!$I$2:$I$501,transactions!$C$2:$C$501,AE$1,transactions!$B$2:$B$501,"&lt;="&amp;$A32))</f>
        <v/>
      </c>
      <c r="AF32" s="17" t="str">
        <f aca="false">IF($A32="","",SUMIFS(transactions!$I$2:$I$501,transactions!$C$2:$C$501,AF$1,transactions!$B$2:$B$501,"&lt;="&amp;$A32))</f>
        <v/>
      </c>
      <c r="AG32" s="17" t="str">
        <f aca="false">IF($A32="","",SUMIFS(transactions!$I$2:$I$501,transactions!$C$2:$C$501,AG$1,transactions!$B$2:$B$501,"&lt;="&amp;$A32))</f>
        <v/>
      </c>
      <c r="AH32" s="17" t="str">
        <f aca="false">IF($A32="","",SUMIFS(transactions!$I$2:$I$501,transactions!$C$2:$C$501,AH$1,transactions!$B$2:$B$501,"&lt;="&amp;$A32))</f>
        <v/>
      </c>
      <c r="AI32" s="17" t="str">
        <f aca="false">IF($A32="","",SUMIFS(transactions!$I$2:$I$501,transactions!$C$2:$C$501,AI$1,transactions!$B$2:$B$501,"&lt;="&amp;$A32))</f>
        <v/>
      </c>
      <c r="AJ32" s="17" t="str">
        <f aca="false">IF($A32="","",SUMIFS(transactions!$I$2:$I$501,transactions!$C$2:$C$501,AJ$1,transactions!$B$2:$B$501,"&lt;="&amp;$A32))</f>
        <v/>
      </c>
    </row>
    <row r="33" customFormat="false" ht="15" hidden="false" customHeight="false" outlineLevel="0" collapsed="false">
      <c r="A33" s="20" t="str">
        <f aca="false">IF(prices!A33="","",prices!A33)</f>
        <v/>
      </c>
      <c r="B33" s="17" t="str">
        <f aca="false">IF($A33="","",SUMIFS(transactions!$I$2:$I$501,transactions!$C$2:$C$501,B$1,transactions!$B$2:$B$501,"&lt;="&amp;$A33))</f>
        <v/>
      </c>
      <c r="C33" s="17" t="str">
        <f aca="false">IF($A33="","",SUMIFS(transactions!$I$2:$I$501,transactions!$C$2:$C$501,C$1,transactions!$B$2:$B$501,"&lt;="&amp;$A33))</f>
        <v/>
      </c>
      <c r="D33" s="17" t="str">
        <f aca="false">IF($A33="","",SUMIFS(transactions!$I$2:$I$501,transactions!$C$2:$C$501,D$1,transactions!$B$2:$B$501,"&lt;="&amp;$A33))</f>
        <v/>
      </c>
      <c r="E33" s="17" t="str">
        <f aca="false">IF($A33="","",SUMIFS(transactions!$I$2:$I$501,transactions!$C$2:$C$501,E$1,transactions!$B$2:$B$501,"&lt;="&amp;$A33))</f>
        <v/>
      </c>
      <c r="F33" s="17" t="str">
        <f aca="false">IF($A33="","",SUMIFS(transactions!$I$2:$I$501,transactions!$C$2:$C$501,F$1,transactions!$B$2:$B$501,"&lt;="&amp;$A33))</f>
        <v/>
      </c>
      <c r="G33" s="17" t="str">
        <f aca="false">IF($A33="","",SUMIFS(transactions!$I$2:$I$501,transactions!$C$2:$C$501,G$1,transactions!$B$2:$B$501,"&lt;="&amp;$A33))</f>
        <v/>
      </c>
      <c r="H33" s="17" t="str">
        <f aca="false">IF($A33="","",SUMIFS(transactions!$I$2:$I$501,transactions!$C$2:$C$501,H$1,transactions!$B$2:$B$501,"&lt;="&amp;$A33))</f>
        <v/>
      </c>
      <c r="I33" s="17" t="str">
        <f aca="false">IF($A33="","",SUMIFS(transactions!$I$2:$I$501,transactions!$C$2:$C$501,I$1,transactions!$B$2:$B$501,"&lt;="&amp;$A33))</f>
        <v/>
      </c>
      <c r="J33" s="17" t="str">
        <f aca="false">IF($A33="","",SUMIFS(transactions!$I$2:$I$501,transactions!$C$2:$C$501,J$1,transactions!$B$2:$B$501,"&lt;="&amp;$A33))</f>
        <v/>
      </c>
      <c r="K33" s="17" t="str">
        <f aca="false">IF($A33="","",SUMIFS(transactions!$I$2:$I$501,transactions!$C$2:$C$501,K$1,transactions!$B$2:$B$501,"&lt;="&amp;$A33))</f>
        <v/>
      </c>
      <c r="L33" s="17" t="str">
        <f aca="false">IF($A33="","",SUMIFS(transactions!$I$2:$I$501,transactions!$C$2:$C$501,L$1,transactions!$B$2:$B$501,"&lt;="&amp;$A33))</f>
        <v/>
      </c>
      <c r="M33" s="17" t="str">
        <f aca="false">IF($A33="","",SUMIFS(transactions!$I$2:$I$501,transactions!$C$2:$C$501,M$1,transactions!$B$2:$B$501,"&lt;="&amp;$A33))</f>
        <v/>
      </c>
      <c r="N33" s="17" t="str">
        <f aca="false">IF($A33="","",SUMIFS(transactions!$I$2:$I$501,transactions!$C$2:$C$501,N$1,transactions!$B$2:$B$501,"&lt;="&amp;$A33))</f>
        <v/>
      </c>
      <c r="O33" s="17" t="str">
        <f aca="false">IF($A33="","",SUMIFS(transactions!$I$2:$I$501,transactions!$C$2:$C$501,O$1,transactions!$B$2:$B$501,"&lt;="&amp;$A33))</f>
        <v/>
      </c>
      <c r="P33" s="17" t="str">
        <f aca="false">IF($A33="","",SUMIFS(transactions!$I$2:$I$501,transactions!$C$2:$C$501,P$1,transactions!$B$2:$B$501,"&lt;="&amp;$A33))</f>
        <v/>
      </c>
      <c r="Q33" s="17" t="str">
        <f aca="false">IF($A33="","",SUMIFS(transactions!$I$2:$I$501,transactions!$C$2:$C$501,Q$1,transactions!$B$2:$B$501,"&lt;="&amp;$A33))</f>
        <v/>
      </c>
      <c r="R33" s="17" t="str">
        <f aca="false">IF($A33="","",SUMIFS(transactions!$I$2:$I$501,transactions!$C$2:$C$501,R$1,transactions!$B$2:$B$501,"&lt;="&amp;$A33))</f>
        <v/>
      </c>
      <c r="S33" s="17" t="str">
        <f aca="false">IF($A33="","",SUMIFS(transactions!$I$2:$I$501,transactions!$C$2:$C$501,S$1,transactions!$B$2:$B$501,"&lt;="&amp;$A33))</f>
        <v/>
      </c>
      <c r="T33" s="17" t="str">
        <f aca="false">IF($A33="","",SUMIFS(transactions!$I$2:$I$501,transactions!$C$2:$C$501,T$1,transactions!$B$2:$B$501,"&lt;="&amp;$A33))</f>
        <v/>
      </c>
      <c r="U33" s="17" t="str">
        <f aca="false">IF($A33="","",SUMIFS(transactions!$I$2:$I$501,transactions!$C$2:$C$501,U$1,transactions!$B$2:$B$501,"&lt;="&amp;$A33))</f>
        <v/>
      </c>
      <c r="V33" s="17" t="str">
        <f aca="false">IF($A33="","",SUMIFS(transactions!$I$2:$I$501,transactions!$C$2:$C$501,V$1,transactions!$B$2:$B$501,"&lt;="&amp;$A33))</f>
        <v/>
      </c>
      <c r="W33" s="17" t="str">
        <f aca="false">IF($A33="","",SUMIFS(transactions!$I$2:$I$501,transactions!$C$2:$C$501,W$1,transactions!$B$2:$B$501,"&lt;="&amp;$A33))</f>
        <v/>
      </c>
      <c r="X33" s="17" t="str">
        <f aca="false">IF($A33="","",SUMIFS(transactions!$I$2:$I$501,transactions!$C$2:$C$501,X$1,transactions!$B$2:$B$501,"&lt;="&amp;$A33))</f>
        <v/>
      </c>
      <c r="Y33" s="17" t="str">
        <f aca="false">IF($A33="","",SUMIFS(transactions!$I$2:$I$501,transactions!$C$2:$C$501,Y$1,transactions!$B$2:$B$501,"&lt;="&amp;$A33))</f>
        <v/>
      </c>
      <c r="Z33" s="17" t="str">
        <f aca="false">IF($A33="","",SUMIFS(transactions!$I$2:$I$501,transactions!$C$2:$C$501,Z$1,transactions!$B$2:$B$501,"&lt;="&amp;$A33))</f>
        <v/>
      </c>
      <c r="AA33" s="17" t="str">
        <f aca="false">IF($A33="","",SUMIFS(transactions!$I$2:$I$501,transactions!$C$2:$C$501,AA$1,transactions!$B$2:$B$501,"&lt;="&amp;$A33))</f>
        <v/>
      </c>
      <c r="AB33" s="17" t="str">
        <f aca="false">IF($A33="","",SUMIFS(transactions!$I$2:$I$501,transactions!$C$2:$C$501,AB$1,transactions!$B$2:$B$501,"&lt;="&amp;$A33))</f>
        <v/>
      </c>
      <c r="AC33" s="17" t="str">
        <f aca="false">IF($A33="","",SUMIFS(transactions!$I$2:$I$501,transactions!$C$2:$C$501,AC$1,transactions!$B$2:$B$501,"&lt;="&amp;$A33))</f>
        <v/>
      </c>
      <c r="AD33" s="17" t="str">
        <f aca="false">IF($A33="","",SUMIFS(transactions!$I$2:$I$501,transactions!$C$2:$C$501,AD$1,transactions!$B$2:$B$501,"&lt;="&amp;$A33))</f>
        <v/>
      </c>
      <c r="AE33" s="17" t="str">
        <f aca="false">IF($A33="","",SUMIFS(transactions!$I$2:$I$501,transactions!$C$2:$C$501,AE$1,transactions!$B$2:$B$501,"&lt;="&amp;$A33))</f>
        <v/>
      </c>
      <c r="AF33" s="17" t="str">
        <f aca="false">IF($A33="","",SUMIFS(transactions!$I$2:$I$501,transactions!$C$2:$C$501,AF$1,transactions!$B$2:$B$501,"&lt;="&amp;$A33))</f>
        <v/>
      </c>
      <c r="AG33" s="17" t="str">
        <f aca="false">IF($A33="","",SUMIFS(transactions!$I$2:$I$501,transactions!$C$2:$C$501,AG$1,transactions!$B$2:$B$501,"&lt;="&amp;$A33))</f>
        <v/>
      </c>
      <c r="AH33" s="17" t="str">
        <f aca="false">IF($A33="","",SUMIFS(transactions!$I$2:$I$501,transactions!$C$2:$C$501,AH$1,transactions!$B$2:$B$501,"&lt;="&amp;$A33))</f>
        <v/>
      </c>
      <c r="AI33" s="17" t="str">
        <f aca="false">IF($A33="","",SUMIFS(transactions!$I$2:$I$501,transactions!$C$2:$C$501,AI$1,transactions!$B$2:$B$501,"&lt;="&amp;$A33))</f>
        <v/>
      </c>
      <c r="AJ33" s="17" t="str">
        <f aca="false">IF($A33="","",SUMIFS(transactions!$I$2:$I$501,transactions!$C$2:$C$501,AJ$1,transactions!$B$2:$B$501,"&lt;="&amp;$A33))</f>
        <v/>
      </c>
    </row>
    <row r="34" customFormat="false" ht="15" hidden="false" customHeight="false" outlineLevel="0" collapsed="false">
      <c r="A34" s="20" t="str">
        <f aca="false">IF(prices!A34="","",prices!A34)</f>
        <v/>
      </c>
      <c r="B34" s="17" t="str">
        <f aca="false">IF($A34="","",SUMIFS(transactions!$I$2:$I$501,transactions!$C$2:$C$501,B$1,transactions!$B$2:$B$501,"&lt;="&amp;$A34))</f>
        <v/>
      </c>
      <c r="C34" s="17" t="str">
        <f aca="false">IF($A34="","",SUMIFS(transactions!$I$2:$I$501,transactions!$C$2:$C$501,C$1,transactions!$B$2:$B$501,"&lt;="&amp;$A34))</f>
        <v/>
      </c>
      <c r="D34" s="17" t="str">
        <f aca="false">IF($A34="","",SUMIFS(transactions!$I$2:$I$501,transactions!$C$2:$C$501,D$1,transactions!$B$2:$B$501,"&lt;="&amp;$A34))</f>
        <v/>
      </c>
      <c r="E34" s="17" t="str">
        <f aca="false">IF($A34="","",SUMIFS(transactions!$I$2:$I$501,transactions!$C$2:$C$501,E$1,transactions!$B$2:$B$501,"&lt;="&amp;$A34))</f>
        <v/>
      </c>
      <c r="F34" s="17" t="str">
        <f aca="false">IF($A34="","",SUMIFS(transactions!$I$2:$I$501,transactions!$C$2:$C$501,F$1,transactions!$B$2:$B$501,"&lt;="&amp;$A34))</f>
        <v/>
      </c>
      <c r="G34" s="17" t="str">
        <f aca="false">IF($A34="","",SUMIFS(transactions!$I$2:$I$501,transactions!$C$2:$C$501,G$1,transactions!$B$2:$B$501,"&lt;="&amp;$A34))</f>
        <v/>
      </c>
      <c r="H34" s="17" t="str">
        <f aca="false">IF($A34="","",SUMIFS(transactions!$I$2:$I$501,transactions!$C$2:$C$501,H$1,transactions!$B$2:$B$501,"&lt;="&amp;$A34))</f>
        <v/>
      </c>
      <c r="I34" s="17" t="str">
        <f aca="false">IF($A34="","",SUMIFS(transactions!$I$2:$I$501,transactions!$C$2:$C$501,I$1,transactions!$B$2:$B$501,"&lt;="&amp;$A34))</f>
        <v/>
      </c>
      <c r="J34" s="17" t="str">
        <f aca="false">IF($A34="","",SUMIFS(transactions!$I$2:$I$501,transactions!$C$2:$C$501,J$1,transactions!$B$2:$B$501,"&lt;="&amp;$A34))</f>
        <v/>
      </c>
      <c r="K34" s="17" t="str">
        <f aca="false">IF($A34="","",SUMIFS(transactions!$I$2:$I$501,transactions!$C$2:$C$501,K$1,transactions!$B$2:$B$501,"&lt;="&amp;$A34))</f>
        <v/>
      </c>
      <c r="L34" s="17" t="str">
        <f aca="false">IF($A34="","",SUMIFS(transactions!$I$2:$I$501,transactions!$C$2:$C$501,L$1,transactions!$B$2:$B$501,"&lt;="&amp;$A34))</f>
        <v/>
      </c>
      <c r="M34" s="17" t="str">
        <f aca="false">IF($A34="","",SUMIFS(transactions!$I$2:$I$501,transactions!$C$2:$C$501,M$1,transactions!$B$2:$B$501,"&lt;="&amp;$A34))</f>
        <v/>
      </c>
      <c r="N34" s="17" t="str">
        <f aca="false">IF($A34="","",SUMIFS(transactions!$I$2:$I$501,transactions!$C$2:$C$501,N$1,transactions!$B$2:$B$501,"&lt;="&amp;$A34))</f>
        <v/>
      </c>
      <c r="O34" s="17" t="str">
        <f aca="false">IF($A34="","",SUMIFS(transactions!$I$2:$I$501,transactions!$C$2:$C$501,O$1,transactions!$B$2:$B$501,"&lt;="&amp;$A34))</f>
        <v/>
      </c>
      <c r="P34" s="17" t="str">
        <f aca="false">IF($A34="","",SUMIFS(transactions!$I$2:$I$501,transactions!$C$2:$C$501,P$1,transactions!$B$2:$B$501,"&lt;="&amp;$A34))</f>
        <v/>
      </c>
      <c r="Q34" s="17" t="str">
        <f aca="false">IF($A34="","",SUMIFS(transactions!$I$2:$I$501,transactions!$C$2:$C$501,Q$1,transactions!$B$2:$B$501,"&lt;="&amp;$A34))</f>
        <v/>
      </c>
      <c r="R34" s="17" t="str">
        <f aca="false">IF($A34="","",SUMIFS(transactions!$I$2:$I$501,transactions!$C$2:$C$501,R$1,transactions!$B$2:$B$501,"&lt;="&amp;$A34))</f>
        <v/>
      </c>
      <c r="S34" s="17" t="str">
        <f aca="false">IF($A34="","",SUMIFS(transactions!$I$2:$I$501,transactions!$C$2:$C$501,S$1,transactions!$B$2:$B$501,"&lt;="&amp;$A34))</f>
        <v/>
      </c>
      <c r="T34" s="17" t="str">
        <f aca="false">IF($A34="","",SUMIFS(transactions!$I$2:$I$501,transactions!$C$2:$C$501,T$1,transactions!$B$2:$B$501,"&lt;="&amp;$A34))</f>
        <v/>
      </c>
      <c r="U34" s="17" t="str">
        <f aca="false">IF($A34="","",SUMIFS(transactions!$I$2:$I$501,transactions!$C$2:$C$501,U$1,transactions!$B$2:$B$501,"&lt;="&amp;$A34))</f>
        <v/>
      </c>
      <c r="V34" s="17" t="str">
        <f aca="false">IF($A34="","",SUMIFS(transactions!$I$2:$I$501,transactions!$C$2:$C$501,V$1,transactions!$B$2:$B$501,"&lt;="&amp;$A34))</f>
        <v/>
      </c>
      <c r="W34" s="17" t="str">
        <f aca="false">IF($A34="","",SUMIFS(transactions!$I$2:$I$501,transactions!$C$2:$C$501,W$1,transactions!$B$2:$B$501,"&lt;="&amp;$A34))</f>
        <v/>
      </c>
      <c r="X34" s="17" t="str">
        <f aca="false">IF($A34="","",SUMIFS(transactions!$I$2:$I$501,transactions!$C$2:$C$501,X$1,transactions!$B$2:$B$501,"&lt;="&amp;$A34))</f>
        <v/>
      </c>
      <c r="Y34" s="17" t="str">
        <f aca="false">IF($A34="","",SUMIFS(transactions!$I$2:$I$501,transactions!$C$2:$C$501,Y$1,transactions!$B$2:$B$501,"&lt;="&amp;$A34))</f>
        <v/>
      </c>
      <c r="Z34" s="17" t="str">
        <f aca="false">IF($A34="","",SUMIFS(transactions!$I$2:$I$501,transactions!$C$2:$C$501,Z$1,transactions!$B$2:$B$501,"&lt;="&amp;$A34))</f>
        <v/>
      </c>
      <c r="AA34" s="17" t="str">
        <f aca="false">IF($A34="","",SUMIFS(transactions!$I$2:$I$501,transactions!$C$2:$C$501,AA$1,transactions!$B$2:$B$501,"&lt;="&amp;$A34))</f>
        <v/>
      </c>
      <c r="AB34" s="17" t="str">
        <f aca="false">IF($A34="","",SUMIFS(transactions!$I$2:$I$501,transactions!$C$2:$C$501,AB$1,transactions!$B$2:$B$501,"&lt;="&amp;$A34))</f>
        <v/>
      </c>
      <c r="AC34" s="17" t="str">
        <f aca="false">IF($A34="","",SUMIFS(transactions!$I$2:$I$501,transactions!$C$2:$C$501,AC$1,transactions!$B$2:$B$501,"&lt;="&amp;$A34))</f>
        <v/>
      </c>
      <c r="AD34" s="17" t="str">
        <f aca="false">IF($A34="","",SUMIFS(transactions!$I$2:$I$501,transactions!$C$2:$C$501,AD$1,transactions!$B$2:$B$501,"&lt;="&amp;$A34))</f>
        <v/>
      </c>
      <c r="AE34" s="17" t="str">
        <f aca="false">IF($A34="","",SUMIFS(transactions!$I$2:$I$501,transactions!$C$2:$C$501,AE$1,transactions!$B$2:$B$501,"&lt;="&amp;$A34))</f>
        <v/>
      </c>
      <c r="AF34" s="17" t="str">
        <f aca="false">IF($A34="","",SUMIFS(transactions!$I$2:$I$501,transactions!$C$2:$C$501,AF$1,transactions!$B$2:$B$501,"&lt;="&amp;$A34))</f>
        <v/>
      </c>
      <c r="AG34" s="17" t="str">
        <f aca="false">IF($A34="","",SUMIFS(transactions!$I$2:$I$501,transactions!$C$2:$C$501,AG$1,transactions!$B$2:$B$501,"&lt;="&amp;$A34))</f>
        <v/>
      </c>
      <c r="AH34" s="17" t="str">
        <f aca="false">IF($A34="","",SUMIFS(transactions!$I$2:$I$501,transactions!$C$2:$C$501,AH$1,transactions!$B$2:$B$501,"&lt;="&amp;$A34))</f>
        <v/>
      </c>
      <c r="AI34" s="17" t="str">
        <f aca="false">IF($A34="","",SUMIFS(transactions!$I$2:$I$501,transactions!$C$2:$C$501,AI$1,transactions!$B$2:$B$501,"&lt;="&amp;$A34))</f>
        <v/>
      </c>
      <c r="AJ34" s="17" t="str">
        <f aca="false">IF($A34="","",SUMIFS(transactions!$I$2:$I$501,transactions!$C$2:$C$501,AJ$1,transactions!$B$2:$B$501,"&lt;="&amp;$A34))</f>
        <v/>
      </c>
    </row>
    <row r="35" customFormat="false" ht="15" hidden="false" customHeight="false" outlineLevel="0" collapsed="false">
      <c r="A35" s="20" t="str">
        <f aca="false">IF(prices!A35="","",prices!A35)</f>
        <v/>
      </c>
      <c r="B35" s="17" t="str">
        <f aca="false">IF($A35="","",SUMIFS(transactions!$I$2:$I$501,transactions!$C$2:$C$501,B$1,transactions!$B$2:$B$501,"&lt;="&amp;$A35))</f>
        <v/>
      </c>
      <c r="C35" s="17" t="str">
        <f aca="false">IF($A35="","",SUMIFS(transactions!$I$2:$I$501,transactions!$C$2:$C$501,C$1,transactions!$B$2:$B$501,"&lt;="&amp;$A35))</f>
        <v/>
      </c>
      <c r="D35" s="17" t="str">
        <f aca="false">IF($A35="","",SUMIFS(transactions!$I$2:$I$501,transactions!$C$2:$C$501,D$1,transactions!$B$2:$B$501,"&lt;="&amp;$A35))</f>
        <v/>
      </c>
      <c r="E35" s="17" t="str">
        <f aca="false">IF($A35="","",SUMIFS(transactions!$I$2:$I$501,transactions!$C$2:$C$501,E$1,transactions!$B$2:$B$501,"&lt;="&amp;$A35))</f>
        <v/>
      </c>
      <c r="F35" s="17" t="str">
        <f aca="false">IF($A35="","",SUMIFS(transactions!$I$2:$I$501,transactions!$C$2:$C$501,F$1,transactions!$B$2:$B$501,"&lt;="&amp;$A35))</f>
        <v/>
      </c>
      <c r="G35" s="17" t="str">
        <f aca="false">IF($A35="","",SUMIFS(transactions!$I$2:$I$501,transactions!$C$2:$C$501,G$1,transactions!$B$2:$B$501,"&lt;="&amp;$A35))</f>
        <v/>
      </c>
      <c r="H35" s="17" t="str">
        <f aca="false">IF($A35="","",SUMIFS(transactions!$I$2:$I$501,transactions!$C$2:$C$501,H$1,transactions!$B$2:$B$501,"&lt;="&amp;$A35))</f>
        <v/>
      </c>
      <c r="I35" s="17" t="str">
        <f aca="false">IF($A35="","",SUMIFS(transactions!$I$2:$I$501,transactions!$C$2:$C$501,I$1,transactions!$B$2:$B$501,"&lt;="&amp;$A35))</f>
        <v/>
      </c>
      <c r="J35" s="17" t="str">
        <f aca="false">IF($A35="","",SUMIFS(transactions!$I$2:$I$501,transactions!$C$2:$C$501,J$1,transactions!$B$2:$B$501,"&lt;="&amp;$A35))</f>
        <v/>
      </c>
      <c r="K35" s="17" t="str">
        <f aca="false">IF($A35="","",SUMIFS(transactions!$I$2:$I$501,transactions!$C$2:$C$501,K$1,transactions!$B$2:$B$501,"&lt;="&amp;$A35))</f>
        <v/>
      </c>
      <c r="L35" s="17" t="str">
        <f aca="false">IF($A35="","",SUMIFS(transactions!$I$2:$I$501,transactions!$C$2:$C$501,L$1,transactions!$B$2:$B$501,"&lt;="&amp;$A35))</f>
        <v/>
      </c>
      <c r="M35" s="17" t="str">
        <f aca="false">IF($A35="","",SUMIFS(transactions!$I$2:$I$501,transactions!$C$2:$C$501,M$1,transactions!$B$2:$B$501,"&lt;="&amp;$A35))</f>
        <v/>
      </c>
      <c r="N35" s="17" t="str">
        <f aca="false">IF($A35="","",SUMIFS(transactions!$I$2:$I$501,transactions!$C$2:$C$501,N$1,transactions!$B$2:$B$501,"&lt;="&amp;$A35))</f>
        <v/>
      </c>
      <c r="O35" s="17" t="str">
        <f aca="false">IF($A35="","",SUMIFS(transactions!$I$2:$I$501,transactions!$C$2:$C$501,O$1,transactions!$B$2:$B$501,"&lt;="&amp;$A35))</f>
        <v/>
      </c>
      <c r="P35" s="17" t="str">
        <f aca="false">IF($A35="","",SUMIFS(transactions!$I$2:$I$501,transactions!$C$2:$C$501,P$1,transactions!$B$2:$B$501,"&lt;="&amp;$A35))</f>
        <v/>
      </c>
      <c r="Q35" s="17" t="str">
        <f aca="false">IF($A35="","",SUMIFS(transactions!$I$2:$I$501,transactions!$C$2:$C$501,Q$1,transactions!$B$2:$B$501,"&lt;="&amp;$A35))</f>
        <v/>
      </c>
      <c r="R35" s="17" t="str">
        <f aca="false">IF($A35="","",SUMIFS(transactions!$I$2:$I$501,transactions!$C$2:$C$501,R$1,transactions!$B$2:$B$501,"&lt;="&amp;$A35))</f>
        <v/>
      </c>
      <c r="S35" s="17" t="str">
        <f aca="false">IF($A35="","",SUMIFS(transactions!$I$2:$I$501,transactions!$C$2:$C$501,S$1,transactions!$B$2:$B$501,"&lt;="&amp;$A35))</f>
        <v/>
      </c>
      <c r="T35" s="17" t="str">
        <f aca="false">IF($A35="","",SUMIFS(transactions!$I$2:$I$501,transactions!$C$2:$C$501,T$1,transactions!$B$2:$B$501,"&lt;="&amp;$A35))</f>
        <v/>
      </c>
      <c r="U35" s="17" t="str">
        <f aca="false">IF($A35="","",SUMIFS(transactions!$I$2:$I$501,transactions!$C$2:$C$501,U$1,transactions!$B$2:$B$501,"&lt;="&amp;$A35))</f>
        <v/>
      </c>
      <c r="V35" s="17" t="str">
        <f aca="false">IF($A35="","",SUMIFS(transactions!$I$2:$I$501,transactions!$C$2:$C$501,V$1,transactions!$B$2:$B$501,"&lt;="&amp;$A35))</f>
        <v/>
      </c>
      <c r="W35" s="17" t="str">
        <f aca="false">IF($A35="","",SUMIFS(transactions!$I$2:$I$501,transactions!$C$2:$C$501,W$1,transactions!$B$2:$B$501,"&lt;="&amp;$A35))</f>
        <v/>
      </c>
      <c r="X35" s="17" t="str">
        <f aca="false">IF($A35="","",SUMIFS(transactions!$I$2:$I$501,transactions!$C$2:$C$501,X$1,transactions!$B$2:$B$501,"&lt;="&amp;$A35))</f>
        <v/>
      </c>
      <c r="Y35" s="17" t="str">
        <f aca="false">IF($A35="","",SUMIFS(transactions!$I$2:$I$501,transactions!$C$2:$C$501,Y$1,transactions!$B$2:$B$501,"&lt;="&amp;$A35))</f>
        <v/>
      </c>
      <c r="Z35" s="17" t="str">
        <f aca="false">IF($A35="","",SUMIFS(transactions!$I$2:$I$501,transactions!$C$2:$C$501,Z$1,transactions!$B$2:$B$501,"&lt;="&amp;$A35))</f>
        <v/>
      </c>
      <c r="AA35" s="17" t="str">
        <f aca="false">IF($A35="","",SUMIFS(transactions!$I$2:$I$501,transactions!$C$2:$C$501,AA$1,transactions!$B$2:$B$501,"&lt;="&amp;$A35))</f>
        <v/>
      </c>
      <c r="AB35" s="17" t="str">
        <f aca="false">IF($A35="","",SUMIFS(transactions!$I$2:$I$501,transactions!$C$2:$C$501,AB$1,transactions!$B$2:$B$501,"&lt;="&amp;$A35))</f>
        <v/>
      </c>
      <c r="AC35" s="17" t="str">
        <f aca="false">IF($A35="","",SUMIFS(transactions!$I$2:$I$501,transactions!$C$2:$C$501,AC$1,transactions!$B$2:$B$501,"&lt;="&amp;$A35))</f>
        <v/>
      </c>
      <c r="AD35" s="17" t="str">
        <f aca="false">IF($A35="","",SUMIFS(transactions!$I$2:$I$501,transactions!$C$2:$C$501,AD$1,transactions!$B$2:$B$501,"&lt;="&amp;$A35))</f>
        <v/>
      </c>
      <c r="AE35" s="17" t="str">
        <f aca="false">IF($A35="","",SUMIFS(transactions!$I$2:$I$501,transactions!$C$2:$C$501,AE$1,transactions!$B$2:$B$501,"&lt;="&amp;$A35))</f>
        <v/>
      </c>
      <c r="AF35" s="17" t="str">
        <f aca="false">IF($A35="","",SUMIFS(transactions!$I$2:$I$501,transactions!$C$2:$C$501,AF$1,transactions!$B$2:$B$501,"&lt;="&amp;$A35))</f>
        <v/>
      </c>
      <c r="AG35" s="17" t="str">
        <f aca="false">IF($A35="","",SUMIFS(transactions!$I$2:$I$501,transactions!$C$2:$C$501,AG$1,transactions!$B$2:$B$501,"&lt;="&amp;$A35))</f>
        <v/>
      </c>
      <c r="AH35" s="17" t="str">
        <f aca="false">IF($A35="","",SUMIFS(transactions!$I$2:$I$501,transactions!$C$2:$C$501,AH$1,transactions!$B$2:$B$501,"&lt;="&amp;$A35))</f>
        <v/>
      </c>
      <c r="AI35" s="17" t="str">
        <f aca="false">IF($A35="","",SUMIFS(transactions!$I$2:$I$501,transactions!$C$2:$C$501,AI$1,transactions!$B$2:$B$501,"&lt;="&amp;$A35))</f>
        <v/>
      </c>
      <c r="AJ35" s="17" t="str">
        <f aca="false">IF($A35="","",SUMIFS(transactions!$I$2:$I$501,transactions!$C$2:$C$501,AJ$1,transactions!$B$2:$B$501,"&lt;="&amp;$A35))</f>
        <v/>
      </c>
    </row>
    <row r="36" customFormat="false" ht="15" hidden="false" customHeight="false" outlineLevel="0" collapsed="false">
      <c r="A36" s="20" t="str">
        <f aca="false">IF(prices!A36="","",prices!A36)</f>
        <v/>
      </c>
      <c r="B36" s="17" t="str">
        <f aca="false">IF($A36="","",SUMIFS(transactions!$I$2:$I$501,transactions!$C$2:$C$501,B$1,transactions!$B$2:$B$501,"&lt;="&amp;$A36))</f>
        <v/>
      </c>
      <c r="C36" s="17" t="str">
        <f aca="false">IF($A36="","",SUMIFS(transactions!$I$2:$I$501,transactions!$C$2:$C$501,C$1,transactions!$B$2:$B$501,"&lt;="&amp;$A36))</f>
        <v/>
      </c>
      <c r="D36" s="17" t="str">
        <f aca="false">IF($A36="","",SUMIFS(transactions!$I$2:$I$501,transactions!$C$2:$C$501,D$1,transactions!$B$2:$B$501,"&lt;="&amp;$A36))</f>
        <v/>
      </c>
      <c r="E36" s="17" t="str">
        <f aca="false">IF($A36="","",SUMIFS(transactions!$I$2:$I$501,transactions!$C$2:$C$501,E$1,transactions!$B$2:$B$501,"&lt;="&amp;$A36))</f>
        <v/>
      </c>
      <c r="F36" s="17" t="str">
        <f aca="false">IF($A36="","",SUMIFS(transactions!$I$2:$I$501,transactions!$C$2:$C$501,F$1,transactions!$B$2:$B$501,"&lt;="&amp;$A36))</f>
        <v/>
      </c>
      <c r="G36" s="17" t="str">
        <f aca="false">IF($A36="","",SUMIFS(transactions!$I$2:$I$501,transactions!$C$2:$C$501,G$1,transactions!$B$2:$B$501,"&lt;="&amp;$A36))</f>
        <v/>
      </c>
      <c r="H36" s="17" t="str">
        <f aca="false">IF($A36="","",SUMIFS(transactions!$I$2:$I$501,transactions!$C$2:$C$501,H$1,transactions!$B$2:$B$501,"&lt;="&amp;$A36))</f>
        <v/>
      </c>
      <c r="I36" s="17" t="str">
        <f aca="false">IF($A36="","",SUMIFS(transactions!$I$2:$I$501,transactions!$C$2:$C$501,I$1,transactions!$B$2:$B$501,"&lt;="&amp;$A36))</f>
        <v/>
      </c>
      <c r="J36" s="17" t="str">
        <f aca="false">IF($A36="","",SUMIFS(transactions!$I$2:$I$501,transactions!$C$2:$C$501,J$1,transactions!$B$2:$B$501,"&lt;="&amp;$A36))</f>
        <v/>
      </c>
      <c r="K36" s="17" t="str">
        <f aca="false">IF($A36="","",SUMIFS(transactions!$I$2:$I$501,transactions!$C$2:$C$501,K$1,transactions!$B$2:$B$501,"&lt;="&amp;$A36))</f>
        <v/>
      </c>
      <c r="L36" s="17" t="str">
        <f aca="false">IF($A36="","",SUMIFS(transactions!$I$2:$I$501,transactions!$C$2:$C$501,L$1,transactions!$B$2:$B$501,"&lt;="&amp;$A36))</f>
        <v/>
      </c>
      <c r="M36" s="17" t="str">
        <f aca="false">IF($A36="","",SUMIFS(transactions!$I$2:$I$501,transactions!$C$2:$C$501,M$1,transactions!$B$2:$B$501,"&lt;="&amp;$A36))</f>
        <v/>
      </c>
      <c r="N36" s="17" t="str">
        <f aca="false">IF($A36="","",SUMIFS(transactions!$I$2:$I$501,transactions!$C$2:$C$501,N$1,transactions!$B$2:$B$501,"&lt;="&amp;$A36))</f>
        <v/>
      </c>
      <c r="O36" s="17" t="str">
        <f aca="false">IF($A36="","",SUMIFS(transactions!$I$2:$I$501,transactions!$C$2:$C$501,O$1,transactions!$B$2:$B$501,"&lt;="&amp;$A36))</f>
        <v/>
      </c>
      <c r="P36" s="17" t="str">
        <f aca="false">IF($A36="","",SUMIFS(transactions!$I$2:$I$501,transactions!$C$2:$C$501,P$1,transactions!$B$2:$B$501,"&lt;="&amp;$A36))</f>
        <v/>
      </c>
      <c r="Q36" s="17" t="str">
        <f aca="false">IF($A36="","",SUMIFS(transactions!$I$2:$I$501,transactions!$C$2:$C$501,Q$1,transactions!$B$2:$B$501,"&lt;="&amp;$A36))</f>
        <v/>
      </c>
      <c r="R36" s="17" t="str">
        <f aca="false">IF($A36="","",SUMIFS(transactions!$I$2:$I$501,transactions!$C$2:$C$501,R$1,transactions!$B$2:$B$501,"&lt;="&amp;$A36))</f>
        <v/>
      </c>
      <c r="S36" s="17" t="str">
        <f aca="false">IF($A36="","",SUMIFS(transactions!$I$2:$I$501,transactions!$C$2:$C$501,S$1,transactions!$B$2:$B$501,"&lt;="&amp;$A36))</f>
        <v/>
      </c>
      <c r="T36" s="17" t="str">
        <f aca="false">IF($A36="","",SUMIFS(transactions!$I$2:$I$501,transactions!$C$2:$C$501,T$1,transactions!$B$2:$B$501,"&lt;="&amp;$A36))</f>
        <v/>
      </c>
      <c r="U36" s="17" t="str">
        <f aca="false">IF($A36="","",SUMIFS(transactions!$I$2:$I$501,transactions!$C$2:$C$501,U$1,transactions!$B$2:$B$501,"&lt;="&amp;$A36))</f>
        <v/>
      </c>
      <c r="V36" s="17" t="str">
        <f aca="false">IF($A36="","",SUMIFS(transactions!$I$2:$I$501,transactions!$C$2:$C$501,V$1,transactions!$B$2:$B$501,"&lt;="&amp;$A36))</f>
        <v/>
      </c>
      <c r="W36" s="17" t="str">
        <f aca="false">IF($A36="","",SUMIFS(transactions!$I$2:$I$501,transactions!$C$2:$C$501,W$1,transactions!$B$2:$B$501,"&lt;="&amp;$A36))</f>
        <v/>
      </c>
      <c r="X36" s="17" t="str">
        <f aca="false">IF($A36="","",SUMIFS(transactions!$I$2:$I$501,transactions!$C$2:$C$501,X$1,transactions!$B$2:$B$501,"&lt;="&amp;$A36))</f>
        <v/>
      </c>
      <c r="Y36" s="17" t="str">
        <f aca="false">IF($A36="","",SUMIFS(transactions!$I$2:$I$501,transactions!$C$2:$C$501,Y$1,transactions!$B$2:$B$501,"&lt;="&amp;$A36))</f>
        <v/>
      </c>
      <c r="Z36" s="17" t="str">
        <f aca="false">IF($A36="","",SUMIFS(transactions!$I$2:$I$501,transactions!$C$2:$C$501,Z$1,transactions!$B$2:$B$501,"&lt;="&amp;$A36))</f>
        <v/>
      </c>
      <c r="AA36" s="17" t="str">
        <f aca="false">IF($A36="","",SUMIFS(transactions!$I$2:$I$501,transactions!$C$2:$C$501,AA$1,transactions!$B$2:$B$501,"&lt;="&amp;$A36))</f>
        <v/>
      </c>
      <c r="AB36" s="17" t="str">
        <f aca="false">IF($A36="","",SUMIFS(transactions!$I$2:$I$501,transactions!$C$2:$C$501,AB$1,transactions!$B$2:$B$501,"&lt;="&amp;$A36))</f>
        <v/>
      </c>
      <c r="AC36" s="17" t="str">
        <f aca="false">IF($A36="","",SUMIFS(transactions!$I$2:$I$501,transactions!$C$2:$C$501,AC$1,transactions!$B$2:$B$501,"&lt;="&amp;$A36))</f>
        <v/>
      </c>
      <c r="AD36" s="17" t="str">
        <f aca="false">IF($A36="","",SUMIFS(transactions!$I$2:$I$501,transactions!$C$2:$C$501,AD$1,transactions!$B$2:$B$501,"&lt;="&amp;$A36))</f>
        <v/>
      </c>
      <c r="AE36" s="17" t="str">
        <f aca="false">IF($A36="","",SUMIFS(transactions!$I$2:$I$501,transactions!$C$2:$C$501,AE$1,transactions!$B$2:$B$501,"&lt;="&amp;$A36))</f>
        <v/>
      </c>
      <c r="AF36" s="17" t="str">
        <f aca="false">IF($A36="","",SUMIFS(transactions!$I$2:$I$501,transactions!$C$2:$C$501,AF$1,transactions!$B$2:$B$501,"&lt;="&amp;$A36))</f>
        <v/>
      </c>
      <c r="AG36" s="17" t="str">
        <f aca="false">IF($A36="","",SUMIFS(transactions!$I$2:$I$501,transactions!$C$2:$C$501,AG$1,transactions!$B$2:$B$501,"&lt;="&amp;$A36))</f>
        <v/>
      </c>
      <c r="AH36" s="17" t="str">
        <f aca="false">IF($A36="","",SUMIFS(transactions!$I$2:$I$501,transactions!$C$2:$C$501,AH$1,transactions!$B$2:$B$501,"&lt;="&amp;$A36))</f>
        <v/>
      </c>
      <c r="AI36" s="17" t="str">
        <f aca="false">IF($A36="","",SUMIFS(transactions!$I$2:$I$501,transactions!$C$2:$C$501,AI$1,transactions!$B$2:$B$501,"&lt;="&amp;$A36))</f>
        <v/>
      </c>
      <c r="AJ36" s="17" t="str">
        <f aca="false">IF($A36="","",SUMIFS(transactions!$I$2:$I$501,transactions!$C$2:$C$501,AJ$1,transactions!$B$2:$B$501,"&lt;="&amp;$A36))</f>
        <v/>
      </c>
    </row>
    <row r="37" customFormat="false" ht="15" hidden="false" customHeight="false" outlineLevel="0" collapsed="false">
      <c r="A37" s="20" t="str">
        <f aca="false">IF(prices!A37="","",prices!A37)</f>
        <v/>
      </c>
      <c r="B37" s="17" t="str">
        <f aca="false">IF($A37="","",SUMIFS(transactions!$I$2:$I$501,transactions!$C$2:$C$501,B$1,transactions!$B$2:$B$501,"&lt;="&amp;$A37))</f>
        <v/>
      </c>
      <c r="C37" s="17" t="str">
        <f aca="false">IF($A37="","",SUMIFS(transactions!$I$2:$I$501,transactions!$C$2:$C$501,C$1,transactions!$B$2:$B$501,"&lt;="&amp;$A37))</f>
        <v/>
      </c>
      <c r="D37" s="17" t="str">
        <f aca="false">IF($A37="","",SUMIFS(transactions!$I$2:$I$501,transactions!$C$2:$C$501,D$1,transactions!$B$2:$B$501,"&lt;="&amp;$A37))</f>
        <v/>
      </c>
      <c r="E37" s="17" t="str">
        <f aca="false">IF($A37="","",SUMIFS(transactions!$I$2:$I$501,transactions!$C$2:$C$501,E$1,transactions!$B$2:$B$501,"&lt;="&amp;$A37))</f>
        <v/>
      </c>
      <c r="F37" s="17" t="str">
        <f aca="false">IF($A37="","",SUMIFS(transactions!$I$2:$I$501,transactions!$C$2:$C$501,F$1,transactions!$B$2:$B$501,"&lt;="&amp;$A37))</f>
        <v/>
      </c>
      <c r="G37" s="17" t="str">
        <f aca="false">IF($A37="","",SUMIFS(transactions!$I$2:$I$501,transactions!$C$2:$C$501,G$1,transactions!$B$2:$B$501,"&lt;="&amp;$A37))</f>
        <v/>
      </c>
      <c r="H37" s="17" t="str">
        <f aca="false">IF($A37="","",SUMIFS(transactions!$I$2:$I$501,transactions!$C$2:$C$501,H$1,transactions!$B$2:$B$501,"&lt;="&amp;$A37))</f>
        <v/>
      </c>
      <c r="I37" s="17" t="str">
        <f aca="false">IF($A37="","",SUMIFS(transactions!$I$2:$I$501,transactions!$C$2:$C$501,I$1,transactions!$B$2:$B$501,"&lt;="&amp;$A37))</f>
        <v/>
      </c>
      <c r="J37" s="17" t="str">
        <f aca="false">IF($A37="","",SUMIFS(transactions!$I$2:$I$501,transactions!$C$2:$C$501,J$1,transactions!$B$2:$B$501,"&lt;="&amp;$A37))</f>
        <v/>
      </c>
      <c r="K37" s="17" t="str">
        <f aca="false">IF($A37="","",SUMIFS(transactions!$I$2:$I$501,transactions!$C$2:$C$501,K$1,transactions!$B$2:$B$501,"&lt;="&amp;$A37))</f>
        <v/>
      </c>
      <c r="L37" s="17" t="str">
        <f aca="false">IF($A37="","",SUMIFS(transactions!$I$2:$I$501,transactions!$C$2:$C$501,L$1,transactions!$B$2:$B$501,"&lt;="&amp;$A37))</f>
        <v/>
      </c>
      <c r="M37" s="17" t="str">
        <f aca="false">IF($A37="","",SUMIFS(transactions!$I$2:$I$501,transactions!$C$2:$C$501,M$1,transactions!$B$2:$B$501,"&lt;="&amp;$A37))</f>
        <v/>
      </c>
      <c r="N37" s="17" t="str">
        <f aca="false">IF($A37="","",SUMIFS(transactions!$I$2:$I$501,transactions!$C$2:$C$501,N$1,transactions!$B$2:$B$501,"&lt;="&amp;$A37))</f>
        <v/>
      </c>
      <c r="O37" s="17" t="str">
        <f aca="false">IF($A37="","",SUMIFS(transactions!$I$2:$I$501,transactions!$C$2:$C$501,O$1,transactions!$B$2:$B$501,"&lt;="&amp;$A37))</f>
        <v/>
      </c>
      <c r="P37" s="17" t="str">
        <f aca="false">IF($A37="","",SUMIFS(transactions!$I$2:$I$501,transactions!$C$2:$C$501,P$1,transactions!$B$2:$B$501,"&lt;="&amp;$A37))</f>
        <v/>
      </c>
      <c r="Q37" s="17" t="str">
        <f aca="false">IF($A37="","",SUMIFS(transactions!$I$2:$I$501,transactions!$C$2:$C$501,Q$1,transactions!$B$2:$B$501,"&lt;="&amp;$A37))</f>
        <v/>
      </c>
      <c r="R37" s="17" t="str">
        <f aca="false">IF($A37="","",SUMIFS(transactions!$I$2:$I$501,transactions!$C$2:$C$501,R$1,transactions!$B$2:$B$501,"&lt;="&amp;$A37))</f>
        <v/>
      </c>
      <c r="S37" s="17" t="str">
        <f aca="false">IF($A37="","",SUMIFS(transactions!$I$2:$I$501,transactions!$C$2:$C$501,S$1,transactions!$B$2:$B$501,"&lt;="&amp;$A37))</f>
        <v/>
      </c>
      <c r="T37" s="17" t="str">
        <f aca="false">IF($A37="","",SUMIFS(transactions!$I$2:$I$501,transactions!$C$2:$C$501,T$1,transactions!$B$2:$B$501,"&lt;="&amp;$A37))</f>
        <v/>
      </c>
      <c r="U37" s="17" t="str">
        <f aca="false">IF($A37="","",SUMIFS(transactions!$I$2:$I$501,transactions!$C$2:$C$501,U$1,transactions!$B$2:$B$501,"&lt;="&amp;$A37))</f>
        <v/>
      </c>
      <c r="V37" s="17" t="str">
        <f aca="false">IF($A37="","",SUMIFS(transactions!$I$2:$I$501,transactions!$C$2:$C$501,V$1,transactions!$B$2:$B$501,"&lt;="&amp;$A37))</f>
        <v/>
      </c>
      <c r="W37" s="17" t="str">
        <f aca="false">IF($A37="","",SUMIFS(transactions!$I$2:$I$501,transactions!$C$2:$C$501,W$1,transactions!$B$2:$B$501,"&lt;="&amp;$A37))</f>
        <v/>
      </c>
      <c r="X37" s="17" t="str">
        <f aca="false">IF($A37="","",SUMIFS(transactions!$I$2:$I$501,transactions!$C$2:$C$501,X$1,transactions!$B$2:$B$501,"&lt;="&amp;$A37))</f>
        <v/>
      </c>
      <c r="Y37" s="17" t="str">
        <f aca="false">IF($A37="","",SUMIFS(transactions!$I$2:$I$501,transactions!$C$2:$C$501,Y$1,transactions!$B$2:$B$501,"&lt;="&amp;$A37))</f>
        <v/>
      </c>
      <c r="Z37" s="17" t="str">
        <f aca="false">IF($A37="","",SUMIFS(transactions!$I$2:$I$501,transactions!$C$2:$C$501,Z$1,transactions!$B$2:$B$501,"&lt;="&amp;$A37))</f>
        <v/>
      </c>
      <c r="AA37" s="17" t="str">
        <f aca="false">IF($A37="","",SUMIFS(transactions!$I$2:$I$501,transactions!$C$2:$C$501,AA$1,transactions!$B$2:$B$501,"&lt;="&amp;$A37))</f>
        <v/>
      </c>
      <c r="AB37" s="17" t="str">
        <f aca="false">IF($A37="","",SUMIFS(transactions!$I$2:$I$501,transactions!$C$2:$C$501,AB$1,transactions!$B$2:$B$501,"&lt;="&amp;$A37))</f>
        <v/>
      </c>
      <c r="AC37" s="17" t="str">
        <f aca="false">IF($A37="","",SUMIFS(transactions!$I$2:$I$501,transactions!$C$2:$C$501,AC$1,transactions!$B$2:$B$501,"&lt;="&amp;$A37))</f>
        <v/>
      </c>
      <c r="AD37" s="17" t="str">
        <f aca="false">IF($A37="","",SUMIFS(transactions!$I$2:$I$501,transactions!$C$2:$C$501,AD$1,transactions!$B$2:$B$501,"&lt;="&amp;$A37))</f>
        <v/>
      </c>
      <c r="AE37" s="17" t="str">
        <f aca="false">IF($A37="","",SUMIFS(transactions!$I$2:$I$501,transactions!$C$2:$C$501,AE$1,transactions!$B$2:$B$501,"&lt;="&amp;$A37))</f>
        <v/>
      </c>
      <c r="AF37" s="17" t="str">
        <f aca="false">IF($A37="","",SUMIFS(transactions!$I$2:$I$501,transactions!$C$2:$C$501,AF$1,transactions!$B$2:$B$501,"&lt;="&amp;$A37))</f>
        <v/>
      </c>
      <c r="AG37" s="17" t="str">
        <f aca="false">IF($A37="","",SUMIFS(transactions!$I$2:$I$501,transactions!$C$2:$C$501,AG$1,transactions!$B$2:$B$501,"&lt;="&amp;$A37))</f>
        <v/>
      </c>
      <c r="AH37" s="17" t="str">
        <f aca="false">IF($A37="","",SUMIFS(transactions!$I$2:$I$501,transactions!$C$2:$C$501,AH$1,transactions!$B$2:$B$501,"&lt;="&amp;$A37))</f>
        <v/>
      </c>
      <c r="AI37" s="17" t="str">
        <f aca="false">IF($A37="","",SUMIFS(transactions!$I$2:$I$501,transactions!$C$2:$C$501,AI$1,transactions!$B$2:$B$501,"&lt;="&amp;$A37))</f>
        <v/>
      </c>
      <c r="AJ37" s="17" t="str">
        <f aca="false">IF($A37="","",SUMIFS(transactions!$I$2:$I$501,transactions!$C$2:$C$501,AJ$1,transactions!$B$2:$B$501,"&lt;="&amp;$A37))</f>
        <v/>
      </c>
    </row>
    <row r="38" customFormat="false" ht="15" hidden="false" customHeight="false" outlineLevel="0" collapsed="false">
      <c r="A38" s="20" t="str">
        <f aca="false">IF(prices!A38="","",prices!A38)</f>
        <v/>
      </c>
      <c r="B38" s="17" t="str">
        <f aca="false">IF($A38="","",SUMIFS(transactions!$I$2:$I$501,transactions!$C$2:$C$501,B$1,transactions!$B$2:$B$501,"&lt;="&amp;$A38))</f>
        <v/>
      </c>
      <c r="C38" s="17" t="str">
        <f aca="false">IF($A38="","",SUMIFS(transactions!$I$2:$I$501,transactions!$C$2:$C$501,C$1,transactions!$B$2:$B$501,"&lt;="&amp;$A38))</f>
        <v/>
      </c>
      <c r="D38" s="17" t="str">
        <f aca="false">IF($A38="","",SUMIFS(transactions!$I$2:$I$501,transactions!$C$2:$C$501,D$1,transactions!$B$2:$B$501,"&lt;="&amp;$A38))</f>
        <v/>
      </c>
      <c r="E38" s="17" t="str">
        <f aca="false">IF($A38="","",SUMIFS(transactions!$I$2:$I$501,transactions!$C$2:$C$501,E$1,transactions!$B$2:$B$501,"&lt;="&amp;$A38))</f>
        <v/>
      </c>
      <c r="F38" s="17" t="str">
        <f aca="false">IF($A38="","",SUMIFS(transactions!$I$2:$I$501,transactions!$C$2:$C$501,F$1,transactions!$B$2:$B$501,"&lt;="&amp;$A38))</f>
        <v/>
      </c>
      <c r="G38" s="17" t="str">
        <f aca="false">IF($A38="","",SUMIFS(transactions!$I$2:$I$501,transactions!$C$2:$C$501,G$1,transactions!$B$2:$B$501,"&lt;="&amp;$A38))</f>
        <v/>
      </c>
      <c r="H38" s="17" t="str">
        <f aca="false">IF($A38="","",SUMIFS(transactions!$I$2:$I$501,transactions!$C$2:$C$501,H$1,transactions!$B$2:$B$501,"&lt;="&amp;$A38))</f>
        <v/>
      </c>
      <c r="I38" s="17" t="str">
        <f aca="false">IF($A38="","",SUMIFS(transactions!$I$2:$I$501,transactions!$C$2:$C$501,I$1,transactions!$B$2:$B$501,"&lt;="&amp;$A38))</f>
        <v/>
      </c>
      <c r="J38" s="17" t="str">
        <f aca="false">IF($A38="","",SUMIFS(transactions!$I$2:$I$501,transactions!$C$2:$C$501,J$1,transactions!$B$2:$B$501,"&lt;="&amp;$A38))</f>
        <v/>
      </c>
      <c r="K38" s="17" t="str">
        <f aca="false">IF($A38="","",SUMIFS(transactions!$I$2:$I$501,transactions!$C$2:$C$501,K$1,transactions!$B$2:$B$501,"&lt;="&amp;$A38))</f>
        <v/>
      </c>
      <c r="L38" s="17" t="str">
        <f aca="false">IF($A38="","",SUMIFS(transactions!$I$2:$I$501,transactions!$C$2:$C$501,L$1,transactions!$B$2:$B$501,"&lt;="&amp;$A38))</f>
        <v/>
      </c>
      <c r="M38" s="17" t="str">
        <f aca="false">IF($A38="","",SUMIFS(transactions!$I$2:$I$501,transactions!$C$2:$C$501,M$1,transactions!$B$2:$B$501,"&lt;="&amp;$A38))</f>
        <v/>
      </c>
      <c r="N38" s="17" t="str">
        <f aca="false">IF($A38="","",SUMIFS(transactions!$I$2:$I$501,transactions!$C$2:$C$501,N$1,transactions!$B$2:$B$501,"&lt;="&amp;$A38))</f>
        <v/>
      </c>
      <c r="O38" s="17" t="str">
        <f aca="false">IF($A38="","",SUMIFS(transactions!$I$2:$I$501,transactions!$C$2:$C$501,O$1,transactions!$B$2:$B$501,"&lt;="&amp;$A38))</f>
        <v/>
      </c>
      <c r="P38" s="17" t="str">
        <f aca="false">IF($A38="","",SUMIFS(transactions!$I$2:$I$501,transactions!$C$2:$C$501,P$1,transactions!$B$2:$B$501,"&lt;="&amp;$A38))</f>
        <v/>
      </c>
      <c r="Q38" s="17" t="str">
        <f aca="false">IF($A38="","",SUMIFS(transactions!$I$2:$I$501,transactions!$C$2:$C$501,Q$1,transactions!$B$2:$B$501,"&lt;="&amp;$A38))</f>
        <v/>
      </c>
      <c r="R38" s="17" t="str">
        <f aca="false">IF($A38="","",SUMIFS(transactions!$I$2:$I$501,transactions!$C$2:$C$501,R$1,transactions!$B$2:$B$501,"&lt;="&amp;$A38))</f>
        <v/>
      </c>
      <c r="S38" s="17" t="str">
        <f aca="false">IF($A38="","",SUMIFS(transactions!$I$2:$I$501,transactions!$C$2:$C$501,S$1,transactions!$B$2:$B$501,"&lt;="&amp;$A38))</f>
        <v/>
      </c>
      <c r="T38" s="17" t="str">
        <f aca="false">IF($A38="","",SUMIFS(transactions!$I$2:$I$501,transactions!$C$2:$C$501,T$1,transactions!$B$2:$B$501,"&lt;="&amp;$A38))</f>
        <v/>
      </c>
      <c r="U38" s="17" t="str">
        <f aca="false">IF($A38="","",SUMIFS(transactions!$I$2:$I$501,transactions!$C$2:$C$501,U$1,transactions!$B$2:$B$501,"&lt;="&amp;$A38))</f>
        <v/>
      </c>
      <c r="V38" s="17" t="str">
        <f aca="false">IF($A38="","",SUMIFS(transactions!$I$2:$I$501,transactions!$C$2:$C$501,V$1,transactions!$B$2:$B$501,"&lt;="&amp;$A38))</f>
        <v/>
      </c>
      <c r="W38" s="17" t="str">
        <f aca="false">IF($A38="","",SUMIFS(transactions!$I$2:$I$501,transactions!$C$2:$C$501,W$1,transactions!$B$2:$B$501,"&lt;="&amp;$A38))</f>
        <v/>
      </c>
      <c r="X38" s="17" t="str">
        <f aca="false">IF($A38="","",SUMIFS(transactions!$I$2:$I$501,transactions!$C$2:$C$501,X$1,transactions!$B$2:$B$501,"&lt;="&amp;$A38))</f>
        <v/>
      </c>
      <c r="Y38" s="17" t="str">
        <f aca="false">IF($A38="","",SUMIFS(transactions!$I$2:$I$501,transactions!$C$2:$C$501,Y$1,transactions!$B$2:$B$501,"&lt;="&amp;$A38))</f>
        <v/>
      </c>
      <c r="Z38" s="17" t="str">
        <f aca="false">IF($A38="","",SUMIFS(transactions!$I$2:$I$501,transactions!$C$2:$C$501,Z$1,transactions!$B$2:$B$501,"&lt;="&amp;$A38))</f>
        <v/>
      </c>
      <c r="AA38" s="17" t="str">
        <f aca="false">IF($A38="","",SUMIFS(transactions!$I$2:$I$501,transactions!$C$2:$C$501,AA$1,transactions!$B$2:$B$501,"&lt;="&amp;$A38))</f>
        <v/>
      </c>
      <c r="AB38" s="17" t="str">
        <f aca="false">IF($A38="","",SUMIFS(transactions!$I$2:$I$501,transactions!$C$2:$C$501,AB$1,transactions!$B$2:$B$501,"&lt;="&amp;$A38))</f>
        <v/>
      </c>
      <c r="AC38" s="17" t="str">
        <f aca="false">IF($A38="","",SUMIFS(transactions!$I$2:$I$501,transactions!$C$2:$C$501,AC$1,transactions!$B$2:$B$501,"&lt;="&amp;$A38))</f>
        <v/>
      </c>
      <c r="AD38" s="17" t="str">
        <f aca="false">IF($A38="","",SUMIFS(transactions!$I$2:$I$501,transactions!$C$2:$C$501,AD$1,transactions!$B$2:$B$501,"&lt;="&amp;$A38))</f>
        <v/>
      </c>
      <c r="AE38" s="17" t="str">
        <f aca="false">IF($A38="","",SUMIFS(transactions!$I$2:$I$501,transactions!$C$2:$C$501,AE$1,transactions!$B$2:$B$501,"&lt;="&amp;$A38))</f>
        <v/>
      </c>
      <c r="AF38" s="17" t="str">
        <f aca="false">IF($A38="","",SUMIFS(transactions!$I$2:$I$501,transactions!$C$2:$C$501,AF$1,transactions!$B$2:$B$501,"&lt;="&amp;$A38))</f>
        <v/>
      </c>
      <c r="AG38" s="17" t="str">
        <f aca="false">IF($A38="","",SUMIFS(transactions!$I$2:$I$501,transactions!$C$2:$C$501,AG$1,transactions!$B$2:$B$501,"&lt;="&amp;$A38))</f>
        <v/>
      </c>
      <c r="AH38" s="17" t="str">
        <f aca="false">IF($A38="","",SUMIFS(transactions!$I$2:$I$501,transactions!$C$2:$C$501,AH$1,transactions!$B$2:$B$501,"&lt;="&amp;$A38))</f>
        <v/>
      </c>
      <c r="AI38" s="17" t="str">
        <f aca="false">IF($A38="","",SUMIFS(transactions!$I$2:$I$501,transactions!$C$2:$C$501,AI$1,transactions!$B$2:$B$501,"&lt;="&amp;$A38))</f>
        <v/>
      </c>
      <c r="AJ38" s="17" t="str">
        <f aca="false">IF($A38="","",SUMIFS(transactions!$I$2:$I$501,transactions!$C$2:$C$501,AJ$1,transactions!$B$2:$B$501,"&lt;="&amp;$A38))</f>
        <v/>
      </c>
    </row>
    <row r="39" customFormat="false" ht="15" hidden="false" customHeight="false" outlineLevel="0" collapsed="false">
      <c r="A39" s="20" t="str">
        <f aca="false">IF(prices!A39="","",prices!A39)</f>
        <v/>
      </c>
      <c r="B39" s="17" t="str">
        <f aca="false">IF($A39="","",SUMIFS(transactions!$I$2:$I$501,transactions!$C$2:$C$501,B$1,transactions!$B$2:$B$501,"&lt;="&amp;$A39))</f>
        <v/>
      </c>
      <c r="C39" s="17" t="str">
        <f aca="false">IF($A39="","",SUMIFS(transactions!$I$2:$I$501,transactions!$C$2:$C$501,C$1,transactions!$B$2:$B$501,"&lt;="&amp;$A39))</f>
        <v/>
      </c>
      <c r="D39" s="17" t="str">
        <f aca="false">IF($A39="","",SUMIFS(transactions!$I$2:$I$501,transactions!$C$2:$C$501,D$1,transactions!$B$2:$B$501,"&lt;="&amp;$A39))</f>
        <v/>
      </c>
      <c r="E39" s="17" t="str">
        <f aca="false">IF($A39="","",SUMIFS(transactions!$I$2:$I$501,transactions!$C$2:$C$501,E$1,transactions!$B$2:$B$501,"&lt;="&amp;$A39))</f>
        <v/>
      </c>
      <c r="F39" s="17" t="str">
        <f aca="false">IF($A39="","",SUMIFS(transactions!$I$2:$I$501,transactions!$C$2:$C$501,F$1,transactions!$B$2:$B$501,"&lt;="&amp;$A39))</f>
        <v/>
      </c>
      <c r="G39" s="17" t="str">
        <f aca="false">IF($A39="","",SUMIFS(transactions!$I$2:$I$501,transactions!$C$2:$C$501,G$1,transactions!$B$2:$B$501,"&lt;="&amp;$A39))</f>
        <v/>
      </c>
      <c r="H39" s="17" t="str">
        <f aca="false">IF($A39="","",SUMIFS(transactions!$I$2:$I$501,transactions!$C$2:$C$501,H$1,transactions!$B$2:$B$501,"&lt;="&amp;$A39))</f>
        <v/>
      </c>
      <c r="I39" s="17" t="str">
        <f aca="false">IF($A39="","",SUMIFS(transactions!$I$2:$I$501,transactions!$C$2:$C$501,I$1,transactions!$B$2:$B$501,"&lt;="&amp;$A39))</f>
        <v/>
      </c>
      <c r="J39" s="17" t="str">
        <f aca="false">IF($A39="","",SUMIFS(transactions!$I$2:$I$501,transactions!$C$2:$C$501,J$1,transactions!$B$2:$B$501,"&lt;="&amp;$A39))</f>
        <v/>
      </c>
      <c r="K39" s="17" t="str">
        <f aca="false">IF($A39="","",SUMIFS(transactions!$I$2:$I$501,transactions!$C$2:$C$501,K$1,transactions!$B$2:$B$501,"&lt;="&amp;$A39))</f>
        <v/>
      </c>
      <c r="L39" s="17" t="str">
        <f aca="false">IF($A39="","",SUMIFS(transactions!$I$2:$I$501,transactions!$C$2:$C$501,L$1,transactions!$B$2:$B$501,"&lt;="&amp;$A39))</f>
        <v/>
      </c>
      <c r="M39" s="17" t="str">
        <f aca="false">IF($A39="","",SUMIFS(transactions!$I$2:$I$501,transactions!$C$2:$C$501,M$1,transactions!$B$2:$B$501,"&lt;="&amp;$A39))</f>
        <v/>
      </c>
      <c r="N39" s="17" t="str">
        <f aca="false">IF($A39="","",SUMIFS(transactions!$I$2:$I$501,transactions!$C$2:$C$501,N$1,transactions!$B$2:$B$501,"&lt;="&amp;$A39))</f>
        <v/>
      </c>
      <c r="O39" s="17" t="str">
        <f aca="false">IF($A39="","",SUMIFS(transactions!$I$2:$I$501,transactions!$C$2:$C$501,O$1,transactions!$B$2:$B$501,"&lt;="&amp;$A39))</f>
        <v/>
      </c>
      <c r="P39" s="17" t="str">
        <f aca="false">IF($A39="","",SUMIFS(transactions!$I$2:$I$501,transactions!$C$2:$C$501,P$1,transactions!$B$2:$B$501,"&lt;="&amp;$A39))</f>
        <v/>
      </c>
      <c r="Q39" s="17" t="str">
        <f aca="false">IF($A39="","",SUMIFS(transactions!$I$2:$I$501,transactions!$C$2:$C$501,Q$1,transactions!$B$2:$B$501,"&lt;="&amp;$A39))</f>
        <v/>
      </c>
      <c r="R39" s="17" t="str">
        <f aca="false">IF($A39="","",SUMIFS(transactions!$I$2:$I$501,transactions!$C$2:$C$501,R$1,transactions!$B$2:$B$501,"&lt;="&amp;$A39))</f>
        <v/>
      </c>
      <c r="S39" s="17" t="str">
        <f aca="false">IF($A39="","",SUMIFS(transactions!$I$2:$I$501,transactions!$C$2:$C$501,S$1,transactions!$B$2:$B$501,"&lt;="&amp;$A39))</f>
        <v/>
      </c>
      <c r="T39" s="17" t="str">
        <f aca="false">IF($A39="","",SUMIFS(transactions!$I$2:$I$501,transactions!$C$2:$C$501,T$1,transactions!$B$2:$B$501,"&lt;="&amp;$A39))</f>
        <v/>
      </c>
      <c r="U39" s="17" t="str">
        <f aca="false">IF($A39="","",SUMIFS(transactions!$I$2:$I$501,transactions!$C$2:$C$501,U$1,transactions!$B$2:$B$501,"&lt;="&amp;$A39))</f>
        <v/>
      </c>
      <c r="V39" s="17" t="str">
        <f aca="false">IF($A39="","",SUMIFS(transactions!$I$2:$I$501,transactions!$C$2:$C$501,V$1,transactions!$B$2:$B$501,"&lt;="&amp;$A39))</f>
        <v/>
      </c>
      <c r="W39" s="17" t="str">
        <f aca="false">IF($A39="","",SUMIFS(transactions!$I$2:$I$501,transactions!$C$2:$C$501,W$1,transactions!$B$2:$B$501,"&lt;="&amp;$A39))</f>
        <v/>
      </c>
      <c r="X39" s="17" t="str">
        <f aca="false">IF($A39="","",SUMIFS(transactions!$I$2:$I$501,transactions!$C$2:$C$501,X$1,transactions!$B$2:$B$501,"&lt;="&amp;$A39))</f>
        <v/>
      </c>
      <c r="Y39" s="17" t="str">
        <f aca="false">IF($A39="","",SUMIFS(transactions!$I$2:$I$501,transactions!$C$2:$C$501,Y$1,transactions!$B$2:$B$501,"&lt;="&amp;$A39))</f>
        <v/>
      </c>
      <c r="Z39" s="17" t="str">
        <f aca="false">IF($A39="","",SUMIFS(transactions!$I$2:$I$501,transactions!$C$2:$C$501,Z$1,transactions!$B$2:$B$501,"&lt;="&amp;$A39))</f>
        <v/>
      </c>
      <c r="AA39" s="17" t="str">
        <f aca="false">IF($A39="","",SUMIFS(transactions!$I$2:$I$501,transactions!$C$2:$C$501,AA$1,transactions!$B$2:$B$501,"&lt;="&amp;$A39))</f>
        <v/>
      </c>
      <c r="AB39" s="17" t="str">
        <f aca="false">IF($A39="","",SUMIFS(transactions!$I$2:$I$501,transactions!$C$2:$C$501,AB$1,transactions!$B$2:$B$501,"&lt;="&amp;$A39))</f>
        <v/>
      </c>
      <c r="AC39" s="17" t="str">
        <f aca="false">IF($A39="","",SUMIFS(transactions!$I$2:$I$501,transactions!$C$2:$C$501,AC$1,transactions!$B$2:$B$501,"&lt;="&amp;$A39))</f>
        <v/>
      </c>
      <c r="AD39" s="17" t="str">
        <f aca="false">IF($A39="","",SUMIFS(transactions!$I$2:$I$501,transactions!$C$2:$C$501,AD$1,transactions!$B$2:$B$501,"&lt;="&amp;$A39))</f>
        <v/>
      </c>
      <c r="AE39" s="17" t="str">
        <f aca="false">IF($A39="","",SUMIFS(transactions!$I$2:$I$501,transactions!$C$2:$C$501,AE$1,transactions!$B$2:$B$501,"&lt;="&amp;$A39))</f>
        <v/>
      </c>
      <c r="AF39" s="17" t="str">
        <f aca="false">IF($A39="","",SUMIFS(transactions!$I$2:$I$501,transactions!$C$2:$C$501,AF$1,transactions!$B$2:$B$501,"&lt;="&amp;$A39))</f>
        <v/>
      </c>
      <c r="AG39" s="17" t="str">
        <f aca="false">IF($A39="","",SUMIFS(transactions!$I$2:$I$501,transactions!$C$2:$C$501,AG$1,transactions!$B$2:$B$501,"&lt;="&amp;$A39))</f>
        <v/>
      </c>
      <c r="AH39" s="17" t="str">
        <f aca="false">IF($A39="","",SUMIFS(transactions!$I$2:$I$501,transactions!$C$2:$C$501,AH$1,transactions!$B$2:$B$501,"&lt;="&amp;$A39))</f>
        <v/>
      </c>
      <c r="AI39" s="17" t="str">
        <f aca="false">IF($A39="","",SUMIFS(transactions!$I$2:$I$501,transactions!$C$2:$C$501,AI$1,transactions!$B$2:$B$501,"&lt;="&amp;$A39))</f>
        <v/>
      </c>
      <c r="AJ39" s="17" t="str">
        <f aca="false">IF($A39="","",SUMIFS(transactions!$I$2:$I$501,transactions!$C$2:$C$501,AJ$1,transactions!$B$2:$B$501,"&lt;="&amp;$A39))</f>
        <v/>
      </c>
    </row>
    <row r="40" customFormat="false" ht="15" hidden="false" customHeight="false" outlineLevel="0" collapsed="false">
      <c r="A40" s="20" t="str">
        <f aca="false">IF(prices!A40="","",prices!A40)</f>
        <v/>
      </c>
      <c r="B40" s="17" t="str">
        <f aca="false">IF($A40="","",SUMIFS(transactions!$I$2:$I$501,transactions!$C$2:$C$501,B$1,transactions!$B$2:$B$501,"&lt;="&amp;$A40))</f>
        <v/>
      </c>
      <c r="C40" s="17" t="str">
        <f aca="false">IF($A40="","",SUMIFS(transactions!$I$2:$I$501,transactions!$C$2:$C$501,C$1,transactions!$B$2:$B$501,"&lt;="&amp;$A40))</f>
        <v/>
      </c>
      <c r="D40" s="17" t="str">
        <f aca="false">IF($A40="","",SUMIFS(transactions!$I$2:$I$501,transactions!$C$2:$C$501,D$1,transactions!$B$2:$B$501,"&lt;="&amp;$A40))</f>
        <v/>
      </c>
      <c r="E40" s="17" t="str">
        <f aca="false">IF($A40="","",SUMIFS(transactions!$I$2:$I$501,transactions!$C$2:$C$501,E$1,transactions!$B$2:$B$501,"&lt;="&amp;$A40))</f>
        <v/>
      </c>
      <c r="F40" s="17" t="str">
        <f aca="false">IF($A40="","",SUMIFS(transactions!$I$2:$I$501,transactions!$C$2:$C$501,F$1,transactions!$B$2:$B$501,"&lt;="&amp;$A40))</f>
        <v/>
      </c>
      <c r="G40" s="17" t="str">
        <f aca="false">IF($A40="","",SUMIFS(transactions!$I$2:$I$501,transactions!$C$2:$C$501,G$1,transactions!$B$2:$B$501,"&lt;="&amp;$A40))</f>
        <v/>
      </c>
      <c r="H40" s="17" t="str">
        <f aca="false">IF($A40="","",SUMIFS(transactions!$I$2:$I$501,transactions!$C$2:$C$501,H$1,transactions!$B$2:$B$501,"&lt;="&amp;$A40))</f>
        <v/>
      </c>
      <c r="I40" s="17" t="str">
        <f aca="false">IF($A40="","",SUMIFS(transactions!$I$2:$I$501,transactions!$C$2:$C$501,I$1,transactions!$B$2:$B$501,"&lt;="&amp;$A40))</f>
        <v/>
      </c>
      <c r="J40" s="17" t="str">
        <f aca="false">IF($A40="","",SUMIFS(transactions!$I$2:$I$501,transactions!$C$2:$C$501,J$1,transactions!$B$2:$B$501,"&lt;="&amp;$A40))</f>
        <v/>
      </c>
      <c r="K40" s="17" t="str">
        <f aca="false">IF($A40="","",SUMIFS(transactions!$I$2:$I$501,transactions!$C$2:$C$501,K$1,transactions!$B$2:$B$501,"&lt;="&amp;$A40))</f>
        <v/>
      </c>
      <c r="L40" s="17" t="str">
        <f aca="false">IF($A40="","",SUMIFS(transactions!$I$2:$I$501,transactions!$C$2:$C$501,L$1,transactions!$B$2:$B$501,"&lt;="&amp;$A40))</f>
        <v/>
      </c>
      <c r="M40" s="17" t="str">
        <f aca="false">IF($A40="","",SUMIFS(transactions!$I$2:$I$501,transactions!$C$2:$C$501,M$1,transactions!$B$2:$B$501,"&lt;="&amp;$A40))</f>
        <v/>
      </c>
      <c r="N40" s="17" t="str">
        <f aca="false">IF($A40="","",SUMIFS(transactions!$I$2:$I$501,transactions!$C$2:$C$501,N$1,transactions!$B$2:$B$501,"&lt;="&amp;$A40))</f>
        <v/>
      </c>
      <c r="O40" s="17" t="str">
        <f aca="false">IF($A40="","",SUMIFS(transactions!$I$2:$I$501,transactions!$C$2:$C$501,O$1,transactions!$B$2:$B$501,"&lt;="&amp;$A40))</f>
        <v/>
      </c>
      <c r="P40" s="17" t="str">
        <f aca="false">IF($A40="","",SUMIFS(transactions!$I$2:$I$501,transactions!$C$2:$C$501,P$1,transactions!$B$2:$B$501,"&lt;="&amp;$A40))</f>
        <v/>
      </c>
      <c r="Q40" s="17" t="str">
        <f aca="false">IF($A40="","",SUMIFS(transactions!$I$2:$I$501,transactions!$C$2:$C$501,Q$1,transactions!$B$2:$B$501,"&lt;="&amp;$A40))</f>
        <v/>
      </c>
      <c r="R40" s="17" t="str">
        <f aca="false">IF($A40="","",SUMIFS(transactions!$I$2:$I$501,transactions!$C$2:$C$501,R$1,transactions!$B$2:$B$501,"&lt;="&amp;$A40))</f>
        <v/>
      </c>
      <c r="S40" s="17" t="str">
        <f aca="false">IF($A40="","",SUMIFS(transactions!$I$2:$I$501,transactions!$C$2:$C$501,S$1,transactions!$B$2:$B$501,"&lt;="&amp;$A40))</f>
        <v/>
      </c>
      <c r="T40" s="17" t="str">
        <f aca="false">IF($A40="","",SUMIFS(transactions!$I$2:$I$501,transactions!$C$2:$C$501,T$1,transactions!$B$2:$B$501,"&lt;="&amp;$A40))</f>
        <v/>
      </c>
      <c r="U40" s="17" t="str">
        <f aca="false">IF($A40="","",SUMIFS(transactions!$I$2:$I$501,transactions!$C$2:$C$501,U$1,transactions!$B$2:$B$501,"&lt;="&amp;$A40))</f>
        <v/>
      </c>
      <c r="V40" s="17" t="str">
        <f aca="false">IF($A40="","",SUMIFS(transactions!$I$2:$I$501,transactions!$C$2:$C$501,V$1,transactions!$B$2:$B$501,"&lt;="&amp;$A40))</f>
        <v/>
      </c>
      <c r="W40" s="17" t="str">
        <f aca="false">IF($A40="","",SUMIFS(transactions!$I$2:$I$501,transactions!$C$2:$C$501,W$1,transactions!$B$2:$B$501,"&lt;="&amp;$A40))</f>
        <v/>
      </c>
      <c r="X40" s="17" t="str">
        <f aca="false">IF($A40="","",SUMIFS(transactions!$I$2:$I$501,transactions!$C$2:$C$501,X$1,transactions!$B$2:$B$501,"&lt;="&amp;$A40))</f>
        <v/>
      </c>
      <c r="Y40" s="17" t="str">
        <f aca="false">IF($A40="","",SUMIFS(transactions!$I$2:$I$501,transactions!$C$2:$C$501,Y$1,transactions!$B$2:$B$501,"&lt;="&amp;$A40))</f>
        <v/>
      </c>
      <c r="Z40" s="17" t="str">
        <f aca="false">IF($A40="","",SUMIFS(transactions!$I$2:$I$501,transactions!$C$2:$C$501,Z$1,transactions!$B$2:$B$501,"&lt;="&amp;$A40))</f>
        <v/>
      </c>
      <c r="AA40" s="17" t="str">
        <f aca="false">IF($A40="","",SUMIFS(transactions!$I$2:$I$501,transactions!$C$2:$C$501,AA$1,transactions!$B$2:$B$501,"&lt;="&amp;$A40))</f>
        <v/>
      </c>
      <c r="AB40" s="17" t="str">
        <f aca="false">IF($A40="","",SUMIFS(transactions!$I$2:$I$501,transactions!$C$2:$C$501,AB$1,transactions!$B$2:$B$501,"&lt;="&amp;$A40))</f>
        <v/>
      </c>
      <c r="AC40" s="17" t="str">
        <f aca="false">IF($A40="","",SUMIFS(transactions!$I$2:$I$501,transactions!$C$2:$C$501,AC$1,transactions!$B$2:$B$501,"&lt;="&amp;$A40))</f>
        <v/>
      </c>
      <c r="AD40" s="17" t="str">
        <f aca="false">IF($A40="","",SUMIFS(transactions!$I$2:$I$501,transactions!$C$2:$C$501,AD$1,transactions!$B$2:$B$501,"&lt;="&amp;$A40))</f>
        <v/>
      </c>
      <c r="AE40" s="17" t="str">
        <f aca="false">IF($A40="","",SUMIFS(transactions!$I$2:$I$501,transactions!$C$2:$C$501,AE$1,transactions!$B$2:$B$501,"&lt;="&amp;$A40))</f>
        <v/>
      </c>
      <c r="AF40" s="17" t="str">
        <f aca="false">IF($A40="","",SUMIFS(transactions!$I$2:$I$501,transactions!$C$2:$C$501,AF$1,transactions!$B$2:$B$501,"&lt;="&amp;$A40))</f>
        <v/>
      </c>
      <c r="AG40" s="17" t="str">
        <f aca="false">IF($A40="","",SUMIFS(transactions!$I$2:$I$501,transactions!$C$2:$C$501,AG$1,transactions!$B$2:$B$501,"&lt;="&amp;$A40))</f>
        <v/>
      </c>
      <c r="AH40" s="17" t="str">
        <f aca="false">IF($A40="","",SUMIFS(transactions!$I$2:$I$501,transactions!$C$2:$C$501,AH$1,transactions!$B$2:$B$501,"&lt;="&amp;$A40))</f>
        <v/>
      </c>
      <c r="AI40" s="17" t="str">
        <f aca="false">IF($A40="","",SUMIFS(transactions!$I$2:$I$501,transactions!$C$2:$C$501,AI$1,transactions!$B$2:$B$501,"&lt;="&amp;$A40))</f>
        <v/>
      </c>
      <c r="AJ40" s="17" t="str">
        <f aca="false">IF($A40="","",SUMIFS(transactions!$I$2:$I$501,transactions!$C$2:$C$501,AJ$1,transactions!$B$2:$B$501,"&lt;="&amp;$A40))</f>
        <v/>
      </c>
    </row>
    <row r="41" customFormat="false" ht="15" hidden="false" customHeight="false" outlineLevel="0" collapsed="false">
      <c r="A41" s="20" t="str">
        <f aca="false">IF(prices!A41="","",prices!A41)</f>
        <v/>
      </c>
      <c r="B41" s="17" t="str">
        <f aca="false">IF($A41="","",SUMIFS(transactions!$I$2:$I$501,transactions!$C$2:$C$501,B$1,transactions!$B$2:$B$501,"&lt;="&amp;$A41))</f>
        <v/>
      </c>
      <c r="C41" s="17" t="str">
        <f aca="false">IF($A41="","",SUMIFS(transactions!$I$2:$I$501,transactions!$C$2:$C$501,C$1,transactions!$B$2:$B$501,"&lt;="&amp;$A41))</f>
        <v/>
      </c>
      <c r="D41" s="17" t="str">
        <f aca="false">IF($A41="","",SUMIFS(transactions!$I$2:$I$501,transactions!$C$2:$C$501,D$1,transactions!$B$2:$B$501,"&lt;="&amp;$A41))</f>
        <v/>
      </c>
      <c r="E41" s="17" t="str">
        <f aca="false">IF($A41="","",SUMIFS(transactions!$I$2:$I$501,transactions!$C$2:$C$501,E$1,transactions!$B$2:$B$501,"&lt;="&amp;$A41))</f>
        <v/>
      </c>
      <c r="F41" s="17" t="str">
        <f aca="false">IF($A41="","",SUMIFS(transactions!$I$2:$I$501,transactions!$C$2:$C$501,F$1,transactions!$B$2:$B$501,"&lt;="&amp;$A41))</f>
        <v/>
      </c>
      <c r="G41" s="17" t="str">
        <f aca="false">IF($A41="","",SUMIFS(transactions!$I$2:$I$501,transactions!$C$2:$C$501,G$1,transactions!$B$2:$B$501,"&lt;="&amp;$A41))</f>
        <v/>
      </c>
      <c r="H41" s="17" t="str">
        <f aca="false">IF($A41="","",SUMIFS(transactions!$I$2:$I$501,transactions!$C$2:$C$501,H$1,transactions!$B$2:$B$501,"&lt;="&amp;$A41))</f>
        <v/>
      </c>
      <c r="I41" s="17" t="str">
        <f aca="false">IF($A41="","",SUMIFS(transactions!$I$2:$I$501,transactions!$C$2:$C$501,I$1,transactions!$B$2:$B$501,"&lt;="&amp;$A41))</f>
        <v/>
      </c>
      <c r="J41" s="17" t="str">
        <f aca="false">IF($A41="","",SUMIFS(transactions!$I$2:$I$501,transactions!$C$2:$C$501,J$1,transactions!$B$2:$B$501,"&lt;="&amp;$A41))</f>
        <v/>
      </c>
      <c r="K41" s="17" t="str">
        <f aca="false">IF($A41="","",SUMIFS(transactions!$I$2:$I$501,transactions!$C$2:$C$501,K$1,transactions!$B$2:$B$501,"&lt;="&amp;$A41))</f>
        <v/>
      </c>
      <c r="L41" s="17" t="str">
        <f aca="false">IF($A41="","",SUMIFS(transactions!$I$2:$I$501,transactions!$C$2:$C$501,L$1,transactions!$B$2:$B$501,"&lt;="&amp;$A41))</f>
        <v/>
      </c>
      <c r="M41" s="17" t="str">
        <f aca="false">IF($A41="","",SUMIFS(transactions!$I$2:$I$501,transactions!$C$2:$C$501,M$1,transactions!$B$2:$B$501,"&lt;="&amp;$A41))</f>
        <v/>
      </c>
      <c r="N41" s="17" t="str">
        <f aca="false">IF($A41="","",SUMIFS(transactions!$I$2:$I$501,transactions!$C$2:$C$501,N$1,transactions!$B$2:$B$501,"&lt;="&amp;$A41))</f>
        <v/>
      </c>
      <c r="O41" s="17" t="str">
        <f aca="false">IF($A41="","",SUMIFS(transactions!$I$2:$I$501,transactions!$C$2:$C$501,O$1,transactions!$B$2:$B$501,"&lt;="&amp;$A41))</f>
        <v/>
      </c>
      <c r="P41" s="17" t="str">
        <f aca="false">IF($A41="","",SUMIFS(transactions!$I$2:$I$501,transactions!$C$2:$C$501,P$1,transactions!$B$2:$B$501,"&lt;="&amp;$A41))</f>
        <v/>
      </c>
      <c r="Q41" s="17" t="str">
        <f aca="false">IF($A41="","",SUMIFS(transactions!$I$2:$I$501,transactions!$C$2:$C$501,Q$1,transactions!$B$2:$B$501,"&lt;="&amp;$A41))</f>
        <v/>
      </c>
      <c r="R41" s="17" t="str">
        <f aca="false">IF($A41="","",SUMIFS(transactions!$I$2:$I$501,transactions!$C$2:$C$501,R$1,transactions!$B$2:$B$501,"&lt;="&amp;$A41))</f>
        <v/>
      </c>
      <c r="S41" s="17" t="str">
        <f aca="false">IF($A41="","",SUMIFS(transactions!$I$2:$I$501,transactions!$C$2:$C$501,S$1,transactions!$B$2:$B$501,"&lt;="&amp;$A41))</f>
        <v/>
      </c>
      <c r="T41" s="17" t="str">
        <f aca="false">IF($A41="","",SUMIFS(transactions!$I$2:$I$501,transactions!$C$2:$C$501,T$1,transactions!$B$2:$B$501,"&lt;="&amp;$A41))</f>
        <v/>
      </c>
      <c r="U41" s="17" t="str">
        <f aca="false">IF($A41="","",SUMIFS(transactions!$I$2:$I$501,transactions!$C$2:$C$501,U$1,transactions!$B$2:$B$501,"&lt;="&amp;$A41))</f>
        <v/>
      </c>
      <c r="V41" s="17" t="str">
        <f aca="false">IF($A41="","",SUMIFS(transactions!$I$2:$I$501,transactions!$C$2:$C$501,V$1,transactions!$B$2:$B$501,"&lt;="&amp;$A41))</f>
        <v/>
      </c>
      <c r="W41" s="17" t="str">
        <f aca="false">IF($A41="","",SUMIFS(transactions!$I$2:$I$501,transactions!$C$2:$C$501,W$1,transactions!$B$2:$B$501,"&lt;="&amp;$A41))</f>
        <v/>
      </c>
      <c r="X41" s="17" t="str">
        <f aca="false">IF($A41="","",SUMIFS(transactions!$I$2:$I$501,transactions!$C$2:$C$501,X$1,transactions!$B$2:$B$501,"&lt;="&amp;$A41))</f>
        <v/>
      </c>
      <c r="Y41" s="17" t="str">
        <f aca="false">IF($A41="","",SUMIFS(transactions!$I$2:$I$501,transactions!$C$2:$C$501,Y$1,transactions!$B$2:$B$501,"&lt;="&amp;$A41))</f>
        <v/>
      </c>
      <c r="Z41" s="17" t="str">
        <f aca="false">IF($A41="","",SUMIFS(transactions!$I$2:$I$501,transactions!$C$2:$C$501,Z$1,transactions!$B$2:$B$501,"&lt;="&amp;$A41))</f>
        <v/>
      </c>
      <c r="AA41" s="17" t="str">
        <f aca="false">IF($A41="","",SUMIFS(transactions!$I$2:$I$501,transactions!$C$2:$C$501,AA$1,transactions!$B$2:$B$501,"&lt;="&amp;$A41))</f>
        <v/>
      </c>
      <c r="AB41" s="17" t="str">
        <f aca="false">IF($A41="","",SUMIFS(transactions!$I$2:$I$501,transactions!$C$2:$C$501,AB$1,transactions!$B$2:$B$501,"&lt;="&amp;$A41))</f>
        <v/>
      </c>
      <c r="AC41" s="17" t="str">
        <f aca="false">IF($A41="","",SUMIFS(transactions!$I$2:$I$501,transactions!$C$2:$C$501,AC$1,transactions!$B$2:$B$501,"&lt;="&amp;$A41))</f>
        <v/>
      </c>
      <c r="AD41" s="17" t="str">
        <f aca="false">IF($A41="","",SUMIFS(transactions!$I$2:$I$501,transactions!$C$2:$C$501,AD$1,transactions!$B$2:$B$501,"&lt;="&amp;$A41))</f>
        <v/>
      </c>
      <c r="AE41" s="17" t="str">
        <f aca="false">IF($A41="","",SUMIFS(transactions!$I$2:$I$501,transactions!$C$2:$C$501,AE$1,transactions!$B$2:$B$501,"&lt;="&amp;$A41))</f>
        <v/>
      </c>
      <c r="AF41" s="17" t="str">
        <f aca="false">IF($A41="","",SUMIFS(transactions!$I$2:$I$501,transactions!$C$2:$C$501,AF$1,transactions!$B$2:$B$501,"&lt;="&amp;$A41))</f>
        <v/>
      </c>
      <c r="AG41" s="17" t="str">
        <f aca="false">IF($A41="","",SUMIFS(transactions!$I$2:$I$501,transactions!$C$2:$C$501,AG$1,transactions!$B$2:$B$501,"&lt;="&amp;$A41))</f>
        <v/>
      </c>
      <c r="AH41" s="17" t="str">
        <f aca="false">IF($A41="","",SUMIFS(transactions!$I$2:$I$501,transactions!$C$2:$C$501,AH$1,transactions!$B$2:$B$501,"&lt;="&amp;$A41))</f>
        <v/>
      </c>
      <c r="AI41" s="17" t="str">
        <f aca="false">IF($A41="","",SUMIFS(transactions!$I$2:$I$501,transactions!$C$2:$C$501,AI$1,transactions!$B$2:$B$501,"&lt;="&amp;$A41))</f>
        <v/>
      </c>
      <c r="AJ41" s="17" t="str">
        <f aca="false">IF($A41="","",SUMIFS(transactions!$I$2:$I$501,transactions!$C$2:$C$501,AJ$1,transactions!$B$2:$B$501,"&lt;="&amp;$A41))</f>
        <v/>
      </c>
    </row>
    <row r="42" customFormat="false" ht="15" hidden="false" customHeight="false" outlineLevel="0" collapsed="false">
      <c r="A42" s="20" t="str">
        <f aca="false">IF(prices!A42="","",prices!A42)</f>
        <v/>
      </c>
      <c r="B42" s="17" t="str">
        <f aca="false">IF($A42="","",SUMIFS(transactions!$I$2:$I$501,transactions!$C$2:$C$501,B$1,transactions!$B$2:$B$501,"&lt;="&amp;$A42))</f>
        <v/>
      </c>
      <c r="C42" s="17" t="str">
        <f aca="false">IF($A42="","",SUMIFS(transactions!$I$2:$I$501,transactions!$C$2:$C$501,C$1,transactions!$B$2:$B$501,"&lt;="&amp;$A42))</f>
        <v/>
      </c>
      <c r="D42" s="17" t="str">
        <f aca="false">IF($A42="","",SUMIFS(transactions!$I$2:$I$501,transactions!$C$2:$C$501,D$1,transactions!$B$2:$B$501,"&lt;="&amp;$A42))</f>
        <v/>
      </c>
      <c r="E42" s="17" t="str">
        <f aca="false">IF($A42="","",SUMIFS(transactions!$I$2:$I$501,transactions!$C$2:$C$501,E$1,transactions!$B$2:$B$501,"&lt;="&amp;$A42))</f>
        <v/>
      </c>
      <c r="F42" s="17" t="str">
        <f aca="false">IF($A42="","",SUMIFS(transactions!$I$2:$I$501,transactions!$C$2:$C$501,F$1,transactions!$B$2:$B$501,"&lt;="&amp;$A42))</f>
        <v/>
      </c>
      <c r="G42" s="17" t="str">
        <f aca="false">IF($A42="","",SUMIFS(transactions!$I$2:$I$501,transactions!$C$2:$C$501,G$1,transactions!$B$2:$B$501,"&lt;="&amp;$A42))</f>
        <v/>
      </c>
      <c r="H42" s="17" t="str">
        <f aca="false">IF($A42="","",SUMIFS(transactions!$I$2:$I$501,transactions!$C$2:$C$501,H$1,transactions!$B$2:$B$501,"&lt;="&amp;$A42))</f>
        <v/>
      </c>
      <c r="I42" s="17" t="str">
        <f aca="false">IF($A42="","",SUMIFS(transactions!$I$2:$I$501,transactions!$C$2:$C$501,I$1,transactions!$B$2:$B$501,"&lt;="&amp;$A42))</f>
        <v/>
      </c>
      <c r="J42" s="17" t="str">
        <f aca="false">IF($A42="","",SUMIFS(transactions!$I$2:$I$501,transactions!$C$2:$C$501,J$1,transactions!$B$2:$B$501,"&lt;="&amp;$A42))</f>
        <v/>
      </c>
      <c r="K42" s="17" t="str">
        <f aca="false">IF($A42="","",SUMIFS(transactions!$I$2:$I$501,transactions!$C$2:$C$501,K$1,transactions!$B$2:$B$501,"&lt;="&amp;$A42))</f>
        <v/>
      </c>
      <c r="L42" s="17" t="str">
        <f aca="false">IF($A42="","",SUMIFS(transactions!$I$2:$I$501,transactions!$C$2:$C$501,L$1,transactions!$B$2:$B$501,"&lt;="&amp;$A42))</f>
        <v/>
      </c>
      <c r="M42" s="17" t="str">
        <f aca="false">IF($A42="","",SUMIFS(transactions!$I$2:$I$501,transactions!$C$2:$C$501,M$1,transactions!$B$2:$B$501,"&lt;="&amp;$A42))</f>
        <v/>
      </c>
      <c r="N42" s="17" t="str">
        <f aca="false">IF($A42="","",SUMIFS(transactions!$I$2:$I$501,transactions!$C$2:$C$501,N$1,transactions!$B$2:$B$501,"&lt;="&amp;$A42))</f>
        <v/>
      </c>
      <c r="O42" s="17" t="str">
        <f aca="false">IF($A42="","",SUMIFS(transactions!$I$2:$I$501,transactions!$C$2:$C$501,O$1,transactions!$B$2:$B$501,"&lt;="&amp;$A42))</f>
        <v/>
      </c>
      <c r="P42" s="17" t="str">
        <f aca="false">IF($A42="","",SUMIFS(transactions!$I$2:$I$501,transactions!$C$2:$C$501,P$1,transactions!$B$2:$B$501,"&lt;="&amp;$A42))</f>
        <v/>
      </c>
      <c r="Q42" s="17" t="str">
        <f aca="false">IF($A42="","",SUMIFS(transactions!$I$2:$I$501,transactions!$C$2:$C$501,Q$1,transactions!$B$2:$B$501,"&lt;="&amp;$A42))</f>
        <v/>
      </c>
      <c r="R42" s="17" t="str">
        <f aca="false">IF($A42="","",SUMIFS(transactions!$I$2:$I$501,transactions!$C$2:$C$501,R$1,transactions!$B$2:$B$501,"&lt;="&amp;$A42))</f>
        <v/>
      </c>
      <c r="S42" s="17" t="str">
        <f aca="false">IF($A42="","",SUMIFS(transactions!$I$2:$I$501,transactions!$C$2:$C$501,S$1,transactions!$B$2:$B$501,"&lt;="&amp;$A42))</f>
        <v/>
      </c>
      <c r="T42" s="17" t="str">
        <f aca="false">IF($A42="","",SUMIFS(transactions!$I$2:$I$501,transactions!$C$2:$C$501,T$1,transactions!$B$2:$B$501,"&lt;="&amp;$A42))</f>
        <v/>
      </c>
      <c r="U42" s="17" t="str">
        <f aca="false">IF($A42="","",SUMIFS(transactions!$I$2:$I$501,transactions!$C$2:$C$501,U$1,transactions!$B$2:$B$501,"&lt;="&amp;$A42))</f>
        <v/>
      </c>
      <c r="V42" s="17" t="str">
        <f aca="false">IF($A42="","",SUMIFS(transactions!$I$2:$I$501,transactions!$C$2:$C$501,V$1,transactions!$B$2:$B$501,"&lt;="&amp;$A42))</f>
        <v/>
      </c>
      <c r="W42" s="17" t="str">
        <f aca="false">IF($A42="","",SUMIFS(transactions!$I$2:$I$501,transactions!$C$2:$C$501,W$1,transactions!$B$2:$B$501,"&lt;="&amp;$A42))</f>
        <v/>
      </c>
      <c r="X42" s="17" t="str">
        <f aca="false">IF($A42="","",SUMIFS(transactions!$I$2:$I$501,transactions!$C$2:$C$501,X$1,transactions!$B$2:$B$501,"&lt;="&amp;$A42))</f>
        <v/>
      </c>
      <c r="Y42" s="17" t="str">
        <f aca="false">IF($A42="","",SUMIFS(transactions!$I$2:$I$501,transactions!$C$2:$C$501,Y$1,transactions!$B$2:$B$501,"&lt;="&amp;$A42))</f>
        <v/>
      </c>
      <c r="Z42" s="17" t="str">
        <f aca="false">IF($A42="","",SUMIFS(transactions!$I$2:$I$501,transactions!$C$2:$C$501,Z$1,transactions!$B$2:$B$501,"&lt;="&amp;$A42))</f>
        <v/>
      </c>
      <c r="AA42" s="17" t="str">
        <f aca="false">IF($A42="","",SUMIFS(transactions!$I$2:$I$501,transactions!$C$2:$C$501,AA$1,transactions!$B$2:$B$501,"&lt;="&amp;$A42))</f>
        <v/>
      </c>
      <c r="AB42" s="17" t="str">
        <f aca="false">IF($A42="","",SUMIFS(transactions!$I$2:$I$501,transactions!$C$2:$C$501,AB$1,transactions!$B$2:$B$501,"&lt;="&amp;$A42))</f>
        <v/>
      </c>
      <c r="AC42" s="17" t="str">
        <f aca="false">IF($A42="","",SUMIFS(transactions!$I$2:$I$501,transactions!$C$2:$C$501,AC$1,transactions!$B$2:$B$501,"&lt;="&amp;$A42))</f>
        <v/>
      </c>
      <c r="AD42" s="17" t="str">
        <f aca="false">IF($A42="","",SUMIFS(transactions!$I$2:$I$501,transactions!$C$2:$C$501,AD$1,transactions!$B$2:$B$501,"&lt;="&amp;$A42))</f>
        <v/>
      </c>
      <c r="AE42" s="17" t="str">
        <f aca="false">IF($A42="","",SUMIFS(transactions!$I$2:$I$501,transactions!$C$2:$C$501,AE$1,transactions!$B$2:$B$501,"&lt;="&amp;$A42))</f>
        <v/>
      </c>
      <c r="AF42" s="17" t="str">
        <f aca="false">IF($A42="","",SUMIFS(transactions!$I$2:$I$501,transactions!$C$2:$C$501,AF$1,transactions!$B$2:$B$501,"&lt;="&amp;$A42))</f>
        <v/>
      </c>
      <c r="AG42" s="17" t="str">
        <f aca="false">IF($A42="","",SUMIFS(transactions!$I$2:$I$501,transactions!$C$2:$C$501,AG$1,transactions!$B$2:$B$501,"&lt;="&amp;$A42))</f>
        <v/>
      </c>
      <c r="AH42" s="17" t="str">
        <f aca="false">IF($A42="","",SUMIFS(transactions!$I$2:$I$501,transactions!$C$2:$C$501,AH$1,transactions!$B$2:$B$501,"&lt;="&amp;$A42))</f>
        <v/>
      </c>
      <c r="AI42" s="17" t="str">
        <f aca="false">IF($A42="","",SUMIFS(transactions!$I$2:$I$501,transactions!$C$2:$C$501,AI$1,transactions!$B$2:$B$501,"&lt;="&amp;$A42))</f>
        <v/>
      </c>
      <c r="AJ42" s="17" t="str">
        <f aca="false">IF($A42="","",SUMIFS(transactions!$I$2:$I$501,transactions!$C$2:$C$501,AJ$1,transactions!$B$2:$B$501,"&lt;="&amp;$A42))</f>
        <v/>
      </c>
    </row>
    <row r="43" customFormat="false" ht="15" hidden="false" customHeight="false" outlineLevel="0" collapsed="false">
      <c r="A43" s="20" t="str">
        <f aca="false">IF(prices!A43="","",prices!A43)</f>
        <v/>
      </c>
      <c r="B43" s="17" t="str">
        <f aca="false">IF($A43="","",SUMIFS(transactions!$I$2:$I$501,transactions!$C$2:$C$501,B$1,transactions!$B$2:$B$501,"&lt;="&amp;$A43))</f>
        <v/>
      </c>
      <c r="C43" s="17" t="str">
        <f aca="false">IF($A43="","",SUMIFS(transactions!$I$2:$I$501,transactions!$C$2:$C$501,C$1,transactions!$B$2:$B$501,"&lt;="&amp;$A43))</f>
        <v/>
      </c>
      <c r="D43" s="17" t="str">
        <f aca="false">IF($A43="","",SUMIFS(transactions!$I$2:$I$501,transactions!$C$2:$C$501,D$1,transactions!$B$2:$B$501,"&lt;="&amp;$A43))</f>
        <v/>
      </c>
      <c r="E43" s="17" t="str">
        <f aca="false">IF($A43="","",SUMIFS(transactions!$I$2:$I$501,transactions!$C$2:$C$501,E$1,transactions!$B$2:$B$501,"&lt;="&amp;$A43))</f>
        <v/>
      </c>
      <c r="F43" s="17" t="str">
        <f aca="false">IF($A43="","",SUMIFS(transactions!$I$2:$I$501,transactions!$C$2:$C$501,F$1,transactions!$B$2:$B$501,"&lt;="&amp;$A43))</f>
        <v/>
      </c>
      <c r="G43" s="17" t="str">
        <f aca="false">IF($A43="","",SUMIFS(transactions!$I$2:$I$501,transactions!$C$2:$C$501,G$1,transactions!$B$2:$B$501,"&lt;="&amp;$A43))</f>
        <v/>
      </c>
      <c r="H43" s="17" t="str">
        <f aca="false">IF($A43="","",SUMIFS(transactions!$I$2:$I$501,transactions!$C$2:$C$501,H$1,transactions!$B$2:$B$501,"&lt;="&amp;$A43))</f>
        <v/>
      </c>
      <c r="I43" s="17" t="str">
        <f aca="false">IF($A43="","",SUMIFS(transactions!$I$2:$I$501,transactions!$C$2:$C$501,I$1,transactions!$B$2:$B$501,"&lt;="&amp;$A43))</f>
        <v/>
      </c>
      <c r="J43" s="17" t="str">
        <f aca="false">IF($A43="","",SUMIFS(transactions!$I$2:$I$501,transactions!$C$2:$C$501,J$1,transactions!$B$2:$B$501,"&lt;="&amp;$A43))</f>
        <v/>
      </c>
      <c r="K43" s="17" t="str">
        <f aca="false">IF($A43="","",SUMIFS(transactions!$I$2:$I$501,transactions!$C$2:$C$501,K$1,transactions!$B$2:$B$501,"&lt;="&amp;$A43))</f>
        <v/>
      </c>
      <c r="L43" s="17" t="str">
        <f aca="false">IF($A43="","",SUMIFS(transactions!$I$2:$I$501,transactions!$C$2:$C$501,L$1,transactions!$B$2:$B$501,"&lt;="&amp;$A43))</f>
        <v/>
      </c>
      <c r="M43" s="17" t="str">
        <f aca="false">IF($A43="","",SUMIFS(transactions!$I$2:$I$501,transactions!$C$2:$C$501,M$1,transactions!$B$2:$B$501,"&lt;="&amp;$A43))</f>
        <v/>
      </c>
      <c r="N43" s="17" t="str">
        <f aca="false">IF($A43="","",SUMIFS(transactions!$I$2:$I$501,transactions!$C$2:$C$501,N$1,transactions!$B$2:$B$501,"&lt;="&amp;$A43))</f>
        <v/>
      </c>
      <c r="O43" s="17" t="str">
        <f aca="false">IF($A43="","",SUMIFS(transactions!$I$2:$I$501,transactions!$C$2:$C$501,O$1,transactions!$B$2:$B$501,"&lt;="&amp;$A43))</f>
        <v/>
      </c>
      <c r="P43" s="17" t="str">
        <f aca="false">IF($A43="","",SUMIFS(transactions!$I$2:$I$501,transactions!$C$2:$C$501,P$1,transactions!$B$2:$B$501,"&lt;="&amp;$A43))</f>
        <v/>
      </c>
      <c r="Q43" s="17" t="str">
        <f aca="false">IF($A43="","",SUMIFS(transactions!$I$2:$I$501,transactions!$C$2:$C$501,Q$1,transactions!$B$2:$B$501,"&lt;="&amp;$A43))</f>
        <v/>
      </c>
      <c r="R43" s="17" t="str">
        <f aca="false">IF($A43="","",SUMIFS(transactions!$I$2:$I$501,transactions!$C$2:$C$501,R$1,transactions!$B$2:$B$501,"&lt;="&amp;$A43))</f>
        <v/>
      </c>
      <c r="S43" s="17" t="str">
        <f aca="false">IF($A43="","",SUMIFS(transactions!$I$2:$I$501,transactions!$C$2:$C$501,S$1,transactions!$B$2:$B$501,"&lt;="&amp;$A43))</f>
        <v/>
      </c>
      <c r="T43" s="17" t="str">
        <f aca="false">IF($A43="","",SUMIFS(transactions!$I$2:$I$501,transactions!$C$2:$C$501,T$1,transactions!$B$2:$B$501,"&lt;="&amp;$A43))</f>
        <v/>
      </c>
      <c r="U43" s="17" t="str">
        <f aca="false">IF($A43="","",SUMIFS(transactions!$I$2:$I$501,transactions!$C$2:$C$501,U$1,transactions!$B$2:$B$501,"&lt;="&amp;$A43))</f>
        <v/>
      </c>
      <c r="V43" s="17" t="str">
        <f aca="false">IF($A43="","",SUMIFS(transactions!$I$2:$I$501,transactions!$C$2:$C$501,V$1,transactions!$B$2:$B$501,"&lt;="&amp;$A43))</f>
        <v/>
      </c>
      <c r="W43" s="17" t="str">
        <f aca="false">IF($A43="","",SUMIFS(transactions!$I$2:$I$501,transactions!$C$2:$C$501,W$1,transactions!$B$2:$B$501,"&lt;="&amp;$A43))</f>
        <v/>
      </c>
      <c r="X43" s="17" t="str">
        <f aca="false">IF($A43="","",SUMIFS(transactions!$I$2:$I$501,transactions!$C$2:$C$501,X$1,transactions!$B$2:$B$501,"&lt;="&amp;$A43))</f>
        <v/>
      </c>
      <c r="Y43" s="17" t="str">
        <f aca="false">IF($A43="","",SUMIFS(transactions!$I$2:$I$501,transactions!$C$2:$C$501,Y$1,transactions!$B$2:$B$501,"&lt;="&amp;$A43))</f>
        <v/>
      </c>
      <c r="Z43" s="17" t="str">
        <f aca="false">IF($A43="","",SUMIFS(transactions!$I$2:$I$501,transactions!$C$2:$C$501,Z$1,transactions!$B$2:$B$501,"&lt;="&amp;$A43))</f>
        <v/>
      </c>
      <c r="AA43" s="17" t="str">
        <f aca="false">IF($A43="","",SUMIFS(transactions!$I$2:$I$501,transactions!$C$2:$C$501,AA$1,transactions!$B$2:$B$501,"&lt;="&amp;$A43))</f>
        <v/>
      </c>
      <c r="AB43" s="17" t="str">
        <f aca="false">IF($A43="","",SUMIFS(transactions!$I$2:$I$501,transactions!$C$2:$C$501,AB$1,transactions!$B$2:$B$501,"&lt;="&amp;$A43))</f>
        <v/>
      </c>
      <c r="AC43" s="17" t="str">
        <f aca="false">IF($A43="","",SUMIFS(transactions!$I$2:$I$501,transactions!$C$2:$C$501,AC$1,transactions!$B$2:$B$501,"&lt;="&amp;$A43))</f>
        <v/>
      </c>
      <c r="AD43" s="17" t="str">
        <f aca="false">IF($A43="","",SUMIFS(transactions!$I$2:$I$501,transactions!$C$2:$C$501,AD$1,transactions!$B$2:$B$501,"&lt;="&amp;$A43))</f>
        <v/>
      </c>
      <c r="AE43" s="17" t="str">
        <f aca="false">IF($A43="","",SUMIFS(transactions!$I$2:$I$501,transactions!$C$2:$C$501,AE$1,transactions!$B$2:$B$501,"&lt;="&amp;$A43))</f>
        <v/>
      </c>
      <c r="AF43" s="17" t="str">
        <f aca="false">IF($A43="","",SUMIFS(transactions!$I$2:$I$501,transactions!$C$2:$C$501,AF$1,transactions!$B$2:$B$501,"&lt;="&amp;$A43))</f>
        <v/>
      </c>
      <c r="AG43" s="17" t="str">
        <f aca="false">IF($A43="","",SUMIFS(transactions!$I$2:$I$501,transactions!$C$2:$C$501,AG$1,transactions!$B$2:$B$501,"&lt;="&amp;$A43))</f>
        <v/>
      </c>
      <c r="AH43" s="17" t="str">
        <f aca="false">IF($A43="","",SUMIFS(transactions!$I$2:$I$501,transactions!$C$2:$C$501,AH$1,transactions!$B$2:$B$501,"&lt;="&amp;$A43))</f>
        <v/>
      </c>
      <c r="AI43" s="17" t="str">
        <f aca="false">IF($A43="","",SUMIFS(transactions!$I$2:$I$501,transactions!$C$2:$C$501,AI$1,transactions!$B$2:$B$501,"&lt;="&amp;$A43))</f>
        <v/>
      </c>
      <c r="AJ43" s="17" t="str">
        <f aca="false">IF($A43="","",SUMIFS(transactions!$I$2:$I$501,transactions!$C$2:$C$501,AJ$1,transactions!$B$2:$B$501,"&lt;="&amp;$A43))</f>
        <v/>
      </c>
    </row>
    <row r="44" customFormat="false" ht="15" hidden="false" customHeight="false" outlineLevel="0" collapsed="false">
      <c r="A44" s="20" t="str">
        <f aca="false">IF(prices!A44="","",prices!A44)</f>
        <v/>
      </c>
      <c r="B44" s="17" t="str">
        <f aca="false">IF($A44="","",SUMIFS(transactions!$I$2:$I$501,transactions!$C$2:$C$501,B$1,transactions!$B$2:$B$501,"&lt;="&amp;$A44))</f>
        <v/>
      </c>
      <c r="C44" s="17" t="str">
        <f aca="false">IF($A44="","",SUMIFS(transactions!$I$2:$I$501,transactions!$C$2:$C$501,C$1,transactions!$B$2:$B$501,"&lt;="&amp;$A44))</f>
        <v/>
      </c>
      <c r="D44" s="17" t="str">
        <f aca="false">IF($A44="","",SUMIFS(transactions!$I$2:$I$501,transactions!$C$2:$C$501,D$1,transactions!$B$2:$B$501,"&lt;="&amp;$A44))</f>
        <v/>
      </c>
      <c r="E44" s="17" t="str">
        <f aca="false">IF($A44="","",SUMIFS(transactions!$I$2:$I$501,transactions!$C$2:$C$501,E$1,transactions!$B$2:$B$501,"&lt;="&amp;$A44))</f>
        <v/>
      </c>
      <c r="F44" s="17" t="str">
        <f aca="false">IF($A44="","",SUMIFS(transactions!$I$2:$I$501,transactions!$C$2:$C$501,F$1,transactions!$B$2:$B$501,"&lt;="&amp;$A44))</f>
        <v/>
      </c>
      <c r="G44" s="17" t="str">
        <f aca="false">IF($A44="","",SUMIFS(transactions!$I$2:$I$501,transactions!$C$2:$C$501,G$1,transactions!$B$2:$B$501,"&lt;="&amp;$A44))</f>
        <v/>
      </c>
      <c r="H44" s="17" t="str">
        <f aca="false">IF($A44="","",SUMIFS(transactions!$I$2:$I$501,transactions!$C$2:$C$501,H$1,transactions!$B$2:$B$501,"&lt;="&amp;$A44))</f>
        <v/>
      </c>
      <c r="I44" s="17" t="str">
        <f aca="false">IF($A44="","",SUMIFS(transactions!$I$2:$I$501,transactions!$C$2:$C$501,I$1,transactions!$B$2:$B$501,"&lt;="&amp;$A44))</f>
        <v/>
      </c>
      <c r="J44" s="17" t="str">
        <f aca="false">IF($A44="","",SUMIFS(transactions!$I$2:$I$501,transactions!$C$2:$C$501,J$1,transactions!$B$2:$B$501,"&lt;="&amp;$A44))</f>
        <v/>
      </c>
      <c r="K44" s="17" t="str">
        <f aca="false">IF($A44="","",SUMIFS(transactions!$I$2:$I$501,transactions!$C$2:$C$501,K$1,transactions!$B$2:$B$501,"&lt;="&amp;$A44))</f>
        <v/>
      </c>
      <c r="L44" s="17" t="str">
        <f aca="false">IF($A44="","",SUMIFS(transactions!$I$2:$I$501,transactions!$C$2:$C$501,L$1,transactions!$B$2:$B$501,"&lt;="&amp;$A44))</f>
        <v/>
      </c>
      <c r="M44" s="17" t="str">
        <f aca="false">IF($A44="","",SUMIFS(transactions!$I$2:$I$501,transactions!$C$2:$C$501,M$1,transactions!$B$2:$B$501,"&lt;="&amp;$A44))</f>
        <v/>
      </c>
      <c r="N44" s="17" t="str">
        <f aca="false">IF($A44="","",SUMIFS(transactions!$I$2:$I$501,transactions!$C$2:$C$501,N$1,transactions!$B$2:$B$501,"&lt;="&amp;$A44))</f>
        <v/>
      </c>
      <c r="O44" s="17" t="str">
        <f aca="false">IF($A44="","",SUMIFS(transactions!$I$2:$I$501,transactions!$C$2:$C$501,O$1,transactions!$B$2:$B$501,"&lt;="&amp;$A44))</f>
        <v/>
      </c>
      <c r="P44" s="17" t="str">
        <f aca="false">IF($A44="","",SUMIFS(transactions!$I$2:$I$501,transactions!$C$2:$C$501,P$1,transactions!$B$2:$B$501,"&lt;="&amp;$A44))</f>
        <v/>
      </c>
      <c r="Q44" s="17" t="str">
        <f aca="false">IF($A44="","",SUMIFS(transactions!$I$2:$I$501,transactions!$C$2:$C$501,Q$1,transactions!$B$2:$B$501,"&lt;="&amp;$A44))</f>
        <v/>
      </c>
      <c r="R44" s="17" t="str">
        <f aca="false">IF($A44="","",SUMIFS(transactions!$I$2:$I$501,transactions!$C$2:$C$501,R$1,transactions!$B$2:$B$501,"&lt;="&amp;$A44))</f>
        <v/>
      </c>
      <c r="S44" s="17" t="str">
        <f aca="false">IF($A44="","",SUMIFS(transactions!$I$2:$I$501,transactions!$C$2:$C$501,S$1,transactions!$B$2:$B$501,"&lt;="&amp;$A44))</f>
        <v/>
      </c>
      <c r="T44" s="17" t="str">
        <f aca="false">IF($A44="","",SUMIFS(transactions!$I$2:$I$501,transactions!$C$2:$C$501,T$1,transactions!$B$2:$B$501,"&lt;="&amp;$A44))</f>
        <v/>
      </c>
      <c r="U44" s="17" t="str">
        <f aca="false">IF($A44="","",SUMIFS(transactions!$I$2:$I$501,transactions!$C$2:$C$501,U$1,transactions!$B$2:$B$501,"&lt;="&amp;$A44))</f>
        <v/>
      </c>
      <c r="V44" s="17" t="str">
        <f aca="false">IF($A44="","",SUMIFS(transactions!$I$2:$I$501,transactions!$C$2:$C$501,V$1,transactions!$B$2:$B$501,"&lt;="&amp;$A44))</f>
        <v/>
      </c>
      <c r="W44" s="17" t="str">
        <f aca="false">IF($A44="","",SUMIFS(transactions!$I$2:$I$501,transactions!$C$2:$C$501,W$1,transactions!$B$2:$B$501,"&lt;="&amp;$A44))</f>
        <v/>
      </c>
      <c r="X44" s="17" t="str">
        <f aca="false">IF($A44="","",SUMIFS(transactions!$I$2:$I$501,transactions!$C$2:$C$501,X$1,transactions!$B$2:$B$501,"&lt;="&amp;$A44))</f>
        <v/>
      </c>
      <c r="Y44" s="17" t="str">
        <f aca="false">IF($A44="","",SUMIFS(transactions!$I$2:$I$501,transactions!$C$2:$C$501,Y$1,transactions!$B$2:$B$501,"&lt;="&amp;$A44))</f>
        <v/>
      </c>
      <c r="Z44" s="17" t="str">
        <f aca="false">IF($A44="","",SUMIFS(transactions!$I$2:$I$501,transactions!$C$2:$C$501,Z$1,transactions!$B$2:$B$501,"&lt;="&amp;$A44))</f>
        <v/>
      </c>
      <c r="AA44" s="17" t="str">
        <f aca="false">IF($A44="","",SUMIFS(transactions!$I$2:$I$501,transactions!$C$2:$C$501,AA$1,transactions!$B$2:$B$501,"&lt;="&amp;$A44))</f>
        <v/>
      </c>
      <c r="AB44" s="17" t="str">
        <f aca="false">IF($A44="","",SUMIFS(transactions!$I$2:$I$501,transactions!$C$2:$C$501,AB$1,transactions!$B$2:$B$501,"&lt;="&amp;$A44))</f>
        <v/>
      </c>
      <c r="AC44" s="17" t="str">
        <f aca="false">IF($A44="","",SUMIFS(transactions!$I$2:$I$501,transactions!$C$2:$C$501,AC$1,transactions!$B$2:$B$501,"&lt;="&amp;$A44))</f>
        <v/>
      </c>
      <c r="AD44" s="17" t="str">
        <f aca="false">IF($A44="","",SUMIFS(transactions!$I$2:$I$501,transactions!$C$2:$C$501,AD$1,transactions!$B$2:$B$501,"&lt;="&amp;$A44))</f>
        <v/>
      </c>
      <c r="AE44" s="17" t="str">
        <f aca="false">IF($A44="","",SUMIFS(transactions!$I$2:$I$501,transactions!$C$2:$C$501,AE$1,transactions!$B$2:$B$501,"&lt;="&amp;$A44))</f>
        <v/>
      </c>
      <c r="AF44" s="17" t="str">
        <f aca="false">IF($A44="","",SUMIFS(transactions!$I$2:$I$501,transactions!$C$2:$C$501,AF$1,transactions!$B$2:$B$501,"&lt;="&amp;$A44))</f>
        <v/>
      </c>
      <c r="AG44" s="17" t="str">
        <f aca="false">IF($A44="","",SUMIFS(transactions!$I$2:$I$501,transactions!$C$2:$C$501,AG$1,transactions!$B$2:$B$501,"&lt;="&amp;$A44))</f>
        <v/>
      </c>
      <c r="AH44" s="17" t="str">
        <f aca="false">IF($A44="","",SUMIFS(transactions!$I$2:$I$501,transactions!$C$2:$C$501,AH$1,transactions!$B$2:$B$501,"&lt;="&amp;$A44))</f>
        <v/>
      </c>
      <c r="AI44" s="17" t="str">
        <f aca="false">IF($A44="","",SUMIFS(transactions!$I$2:$I$501,transactions!$C$2:$C$501,AI$1,transactions!$B$2:$B$501,"&lt;="&amp;$A44))</f>
        <v/>
      </c>
      <c r="AJ44" s="17" t="str">
        <f aca="false">IF($A44="","",SUMIFS(transactions!$I$2:$I$501,transactions!$C$2:$C$501,AJ$1,transactions!$B$2:$B$501,"&lt;="&amp;$A44))</f>
        <v/>
      </c>
    </row>
    <row r="45" customFormat="false" ht="15" hidden="false" customHeight="false" outlineLevel="0" collapsed="false">
      <c r="A45" s="20" t="str">
        <f aca="false">IF(prices!A45="","",prices!A45)</f>
        <v/>
      </c>
      <c r="B45" s="17" t="str">
        <f aca="false">IF($A45="","",SUMIFS(transactions!$I$2:$I$501,transactions!$C$2:$C$501,B$1,transactions!$B$2:$B$501,"&lt;="&amp;$A45))</f>
        <v/>
      </c>
      <c r="C45" s="17" t="str">
        <f aca="false">IF($A45="","",SUMIFS(transactions!$I$2:$I$501,transactions!$C$2:$C$501,C$1,transactions!$B$2:$B$501,"&lt;="&amp;$A45))</f>
        <v/>
      </c>
      <c r="D45" s="17" t="str">
        <f aca="false">IF($A45="","",SUMIFS(transactions!$I$2:$I$501,transactions!$C$2:$C$501,D$1,transactions!$B$2:$B$501,"&lt;="&amp;$A45))</f>
        <v/>
      </c>
      <c r="E45" s="17" t="str">
        <f aca="false">IF($A45="","",SUMIFS(transactions!$I$2:$I$501,transactions!$C$2:$C$501,E$1,transactions!$B$2:$B$501,"&lt;="&amp;$A45))</f>
        <v/>
      </c>
      <c r="F45" s="17" t="str">
        <f aca="false">IF($A45="","",SUMIFS(transactions!$I$2:$I$501,transactions!$C$2:$C$501,F$1,transactions!$B$2:$B$501,"&lt;="&amp;$A45))</f>
        <v/>
      </c>
      <c r="G45" s="17" t="str">
        <f aca="false">IF($A45="","",SUMIFS(transactions!$I$2:$I$501,transactions!$C$2:$C$501,G$1,transactions!$B$2:$B$501,"&lt;="&amp;$A45))</f>
        <v/>
      </c>
      <c r="H45" s="17" t="str">
        <f aca="false">IF($A45="","",SUMIFS(transactions!$I$2:$I$501,transactions!$C$2:$C$501,H$1,transactions!$B$2:$B$501,"&lt;="&amp;$A45))</f>
        <v/>
      </c>
      <c r="I45" s="17" t="str">
        <f aca="false">IF($A45="","",SUMIFS(transactions!$I$2:$I$501,transactions!$C$2:$C$501,I$1,transactions!$B$2:$B$501,"&lt;="&amp;$A45))</f>
        <v/>
      </c>
      <c r="J45" s="17" t="str">
        <f aca="false">IF($A45="","",SUMIFS(transactions!$I$2:$I$501,transactions!$C$2:$C$501,J$1,transactions!$B$2:$B$501,"&lt;="&amp;$A45))</f>
        <v/>
      </c>
      <c r="K45" s="17" t="str">
        <f aca="false">IF($A45="","",SUMIFS(transactions!$I$2:$I$501,transactions!$C$2:$C$501,K$1,transactions!$B$2:$B$501,"&lt;="&amp;$A45))</f>
        <v/>
      </c>
      <c r="L45" s="17" t="str">
        <f aca="false">IF($A45="","",SUMIFS(transactions!$I$2:$I$501,transactions!$C$2:$C$501,L$1,transactions!$B$2:$B$501,"&lt;="&amp;$A45))</f>
        <v/>
      </c>
      <c r="M45" s="17" t="str">
        <f aca="false">IF($A45="","",SUMIFS(transactions!$I$2:$I$501,transactions!$C$2:$C$501,M$1,transactions!$B$2:$B$501,"&lt;="&amp;$A45))</f>
        <v/>
      </c>
      <c r="N45" s="17" t="str">
        <f aca="false">IF($A45="","",SUMIFS(transactions!$I$2:$I$501,transactions!$C$2:$C$501,N$1,transactions!$B$2:$B$501,"&lt;="&amp;$A45))</f>
        <v/>
      </c>
      <c r="O45" s="17" t="str">
        <f aca="false">IF($A45="","",SUMIFS(transactions!$I$2:$I$501,transactions!$C$2:$C$501,O$1,transactions!$B$2:$B$501,"&lt;="&amp;$A45))</f>
        <v/>
      </c>
      <c r="P45" s="17" t="str">
        <f aca="false">IF($A45="","",SUMIFS(transactions!$I$2:$I$501,transactions!$C$2:$C$501,P$1,transactions!$B$2:$B$501,"&lt;="&amp;$A45))</f>
        <v/>
      </c>
      <c r="Q45" s="17" t="str">
        <f aca="false">IF($A45="","",SUMIFS(transactions!$I$2:$I$501,transactions!$C$2:$C$501,Q$1,transactions!$B$2:$B$501,"&lt;="&amp;$A45))</f>
        <v/>
      </c>
      <c r="R45" s="17" t="str">
        <f aca="false">IF($A45="","",SUMIFS(transactions!$I$2:$I$501,transactions!$C$2:$C$501,R$1,transactions!$B$2:$B$501,"&lt;="&amp;$A45))</f>
        <v/>
      </c>
      <c r="S45" s="17" t="str">
        <f aca="false">IF($A45="","",SUMIFS(transactions!$I$2:$I$501,transactions!$C$2:$C$501,S$1,transactions!$B$2:$B$501,"&lt;="&amp;$A45))</f>
        <v/>
      </c>
      <c r="T45" s="17" t="str">
        <f aca="false">IF($A45="","",SUMIFS(transactions!$I$2:$I$501,transactions!$C$2:$C$501,T$1,transactions!$B$2:$B$501,"&lt;="&amp;$A45))</f>
        <v/>
      </c>
      <c r="U45" s="17" t="str">
        <f aca="false">IF($A45="","",SUMIFS(transactions!$I$2:$I$501,transactions!$C$2:$C$501,U$1,transactions!$B$2:$B$501,"&lt;="&amp;$A45))</f>
        <v/>
      </c>
      <c r="V45" s="17" t="str">
        <f aca="false">IF($A45="","",SUMIFS(transactions!$I$2:$I$501,transactions!$C$2:$C$501,V$1,transactions!$B$2:$B$501,"&lt;="&amp;$A45))</f>
        <v/>
      </c>
      <c r="W45" s="17" t="str">
        <f aca="false">IF($A45="","",SUMIFS(transactions!$I$2:$I$501,transactions!$C$2:$C$501,W$1,transactions!$B$2:$B$501,"&lt;="&amp;$A45))</f>
        <v/>
      </c>
      <c r="X45" s="17" t="str">
        <f aca="false">IF($A45="","",SUMIFS(transactions!$I$2:$I$501,transactions!$C$2:$C$501,X$1,transactions!$B$2:$B$501,"&lt;="&amp;$A45))</f>
        <v/>
      </c>
      <c r="Y45" s="17" t="str">
        <f aca="false">IF($A45="","",SUMIFS(transactions!$I$2:$I$501,transactions!$C$2:$C$501,Y$1,transactions!$B$2:$B$501,"&lt;="&amp;$A45))</f>
        <v/>
      </c>
      <c r="Z45" s="17" t="str">
        <f aca="false">IF($A45="","",SUMIFS(transactions!$I$2:$I$501,transactions!$C$2:$C$501,Z$1,transactions!$B$2:$B$501,"&lt;="&amp;$A45))</f>
        <v/>
      </c>
      <c r="AA45" s="17" t="str">
        <f aca="false">IF($A45="","",SUMIFS(transactions!$I$2:$I$501,transactions!$C$2:$C$501,AA$1,transactions!$B$2:$B$501,"&lt;="&amp;$A45))</f>
        <v/>
      </c>
      <c r="AB45" s="17" t="str">
        <f aca="false">IF($A45="","",SUMIFS(transactions!$I$2:$I$501,transactions!$C$2:$C$501,AB$1,transactions!$B$2:$B$501,"&lt;="&amp;$A45))</f>
        <v/>
      </c>
      <c r="AC45" s="17" t="str">
        <f aca="false">IF($A45="","",SUMIFS(transactions!$I$2:$I$501,transactions!$C$2:$C$501,AC$1,transactions!$B$2:$B$501,"&lt;="&amp;$A45))</f>
        <v/>
      </c>
      <c r="AD45" s="17" t="str">
        <f aca="false">IF($A45="","",SUMIFS(transactions!$I$2:$I$501,transactions!$C$2:$C$501,AD$1,transactions!$B$2:$B$501,"&lt;="&amp;$A45))</f>
        <v/>
      </c>
      <c r="AE45" s="17" t="str">
        <f aca="false">IF($A45="","",SUMIFS(transactions!$I$2:$I$501,transactions!$C$2:$C$501,AE$1,transactions!$B$2:$B$501,"&lt;="&amp;$A45))</f>
        <v/>
      </c>
      <c r="AF45" s="17" t="str">
        <f aca="false">IF($A45="","",SUMIFS(transactions!$I$2:$I$501,transactions!$C$2:$C$501,AF$1,transactions!$B$2:$B$501,"&lt;="&amp;$A45))</f>
        <v/>
      </c>
      <c r="AG45" s="17" t="str">
        <f aca="false">IF($A45="","",SUMIFS(transactions!$I$2:$I$501,transactions!$C$2:$C$501,AG$1,transactions!$B$2:$B$501,"&lt;="&amp;$A45))</f>
        <v/>
      </c>
      <c r="AH45" s="17" t="str">
        <f aca="false">IF($A45="","",SUMIFS(transactions!$I$2:$I$501,transactions!$C$2:$C$501,AH$1,transactions!$B$2:$B$501,"&lt;="&amp;$A45))</f>
        <v/>
      </c>
      <c r="AI45" s="17" t="str">
        <f aca="false">IF($A45="","",SUMIFS(transactions!$I$2:$I$501,transactions!$C$2:$C$501,AI$1,transactions!$B$2:$B$501,"&lt;="&amp;$A45))</f>
        <v/>
      </c>
      <c r="AJ45" s="17" t="str">
        <f aca="false">IF($A45="","",SUMIFS(transactions!$I$2:$I$501,transactions!$C$2:$C$501,AJ$1,transactions!$B$2:$B$501,"&lt;="&amp;$A45))</f>
        <v/>
      </c>
    </row>
    <row r="46" customFormat="false" ht="15" hidden="false" customHeight="false" outlineLevel="0" collapsed="false">
      <c r="A46" s="20" t="str">
        <f aca="false">IF(prices!A46="","",prices!A46)</f>
        <v/>
      </c>
      <c r="B46" s="17" t="str">
        <f aca="false">IF($A46="","",SUMIFS(transactions!$I$2:$I$501,transactions!$C$2:$C$501,B$1,transactions!$B$2:$B$501,"&lt;="&amp;$A46))</f>
        <v/>
      </c>
      <c r="C46" s="17" t="str">
        <f aca="false">IF($A46="","",SUMIFS(transactions!$I$2:$I$501,transactions!$C$2:$C$501,C$1,transactions!$B$2:$B$501,"&lt;="&amp;$A46))</f>
        <v/>
      </c>
      <c r="D46" s="17" t="str">
        <f aca="false">IF($A46="","",SUMIFS(transactions!$I$2:$I$501,transactions!$C$2:$C$501,D$1,transactions!$B$2:$B$501,"&lt;="&amp;$A46))</f>
        <v/>
      </c>
      <c r="E46" s="17" t="str">
        <f aca="false">IF($A46="","",SUMIFS(transactions!$I$2:$I$501,transactions!$C$2:$C$501,E$1,transactions!$B$2:$B$501,"&lt;="&amp;$A46))</f>
        <v/>
      </c>
      <c r="F46" s="17" t="str">
        <f aca="false">IF($A46="","",SUMIFS(transactions!$I$2:$I$501,transactions!$C$2:$C$501,F$1,transactions!$B$2:$B$501,"&lt;="&amp;$A46))</f>
        <v/>
      </c>
      <c r="G46" s="17" t="str">
        <f aca="false">IF($A46="","",SUMIFS(transactions!$I$2:$I$501,transactions!$C$2:$C$501,G$1,transactions!$B$2:$B$501,"&lt;="&amp;$A46))</f>
        <v/>
      </c>
      <c r="H46" s="17" t="str">
        <f aca="false">IF($A46="","",SUMIFS(transactions!$I$2:$I$501,transactions!$C$2:$C$501,H$1,transactions!$B$2:$B$501,"&lt;="&amp;$A46))</f>
        <v/>
      </c>
      <c r="I46" s="17" t="str">
        <f aca="false">IF($A46="","",SUMIFS(transactions!$I$2:$I$501,transactions!$C$2:$C$501,I$1,transactions!$B$2:$B$501,"&lt;="&amp;$A46))</f>
        <v/>
      </c>
      <c r="J46" s="17" t="str">
        <f aca="false">IF($A46="","",SUMIFS(transactions!$I$2:$I$501,transactions!$C$2:$C$501,J$1,transactions!$B$2:$B$501,"&lt;="&amp;$A46))</f>
        <v/>
      </c>
      <c r="K46" s="17" t="str">
        <f aca="false">IF($A46="","",SUMIFS(transactions!$I$2:$I$501,transactions!$C$2:$C$501,K$1,transactions!$B$2:$B$501,"&lt;="&amp;$A46))</f>
        <v/>
      </c>
      <c r="L46" s="17" t="str">
        <f aca="false">IF($A46="","",SUMIFS(transactions!$I$2:$I$501,transactions!$C$2:$C$501,L$1,transactions!$B$2:$B$501,"&lt;="&amp;$A46))</f>
        <v/>
      </c>
      <c r="M46" s="17" t="str">
        <f aca="false">IF($A46="","",SUMIFS(transactions!$I$2:$I$501,transactions!$C$2:$C$501,M$1,transactions!$B$2:$B$501,"&lt;="&amp;$A46))</f>
        <v/>
      </c>
      <c r="N46" s="17" t="str">
        <f aca="false">IF($A46="","",SUMIFS(transactions!$I$2:$I$501,transactions!$C$2:$C$501,N$1,transactions!$B$2:$B$501,"&lt;="&amp;$A46))</f>
        <v/>
      </c>
      <c r="O46" s="17" t="str">
        <f aca="false">IF($A46="","",SUMIFS(transactions!$I$2:$I$501,transactions!$C$2:$C$501,O$1,transactions!$B$2:$B$501,"&lt;="&amp;$A46))</f>
        <v/>
      </c>
      <c r="P46" s="17" t="str">
        <f aca="false">IF($A46="","",SUMIFS(transactions!$I$2:$I$501,transactions!$C$2:$C$501,P$1,transactions!$B$2:$B$501,"&lt;="&amp;$A46))</f>
        <v/>
      </c>
      <c r="Q46" s="17" t="str">
        <f aca="false">IF($A46="","",SUMIFS(transactions!$I$2:$I$501,transactions!$C$2:$C$501,Q$1,transactions!$B$2:$B$501,"&lt;="&amp;$A46))</f>
        <v/>
      </c>
      <c r="R46" s="17" t="str">
        <f aca="false">IF($A46="","",SUMIFS(transactions!$I$2:$I$501,transactions!$C$2:$C$501,R$1,transactions!$B$2:$B$501,"&lt;="&amp;$A46))</f>
        <v/>
      </c>
      <c r="S46" s="17" t="str">
        <f aca="false">IF($A46="","",SUMIFS(transactions!$I$2:$I$501,transactions!$C$2:$C$501,S$1,transactions!$B$2:$B$501,"&lt;="&amp;$A46))</f>
        <v/>
      </c>
      <c r="T46" s="17" t="str">
        <f aca="false">IF($A46="","",SUMIFS(transactions!$I$2:$I$501,transactions!$C$2:$C$501,T$1,transactions!$B$2:$B$501,"&lt;="&amp;$A46))</f>
        <v/>
      </c>
      <c r="U46" s="17" t="str">
        <f aca="false">IF($A46="","",SUMIFS(transactions!$I$2:$I$501,transactions!$C$2:$C$501,U$1,transactions!$B$2:$B$501,"&lt;="&amp;$A46))</f>
        <v/>
      </c>
      <c r="V46" s="17" t="str">
        <f aca="false">IF($A46="","",SUMIFS(transactions!$I$2:$I$501,transactions!$C$2:$C$501,V$1,transactions!$B$2:$B$501,"&lt;="&amp;$A46))</f>
        <v/>
      </c>
      <c r="W46" s="17" t="str">
        <f aca="false">IF($A46="","",SUMIFS(transactions!$I$2:$I$501,transactions!$C$2:$C$501,W$1,transactions!$B$2:$B$501,"&lt;="&amp;$A46))</f>
        <v/>
      </c>
      <c r="X46" s="17" t="str">
        <f aca="false">IF($A46="","",SUMIFS(transactions!$I$2:$I$501,transactions!$C$2:$C$501,X$1,transactions!$B$2:$B$501,"&lt;="&amp;$A46))</f>
        <v/>
      </c>
      <c r="Y46" s="17" t="str">
        <f aca="false">IF($A46="","",SUMIFS(transactions!$I$2:$I$501,transactions!$C$2:$C$501,Y$1,transactions!$B$2:$B$501,"&lt;="&amp;$A46))</f>
        <v/>
      </c>
      <c r="Z46" s="17" t="str">
        <f aca="false">IF($A46="","",SUMIFS(transactions!$I$2:$I$501,transactions!$C$2:$C$501,Z$1,transactions!$B$2:$B$501,"&lt;="&amp;$A46))</f>
        <v/>
      </c>
      <c r="AA46" s="17" t="str">
        <f aca="false">IF($A46="","",SUMIFS(transactions!$I$2:$I$501,transactions!$C$2:$C$501,AA$1,transactions!$B$2:$B$501,"&lt;="&amp;$A46))</f>
        <v/>
      </c>
      <c r="AB46" s="17" t="str">
        <f aca="false">IF($A46="","",SUMIFS(transactions!$I$2:$I$501,transactions!$C$2:$C$501,AB$1,transactions!$B$2:$B$501,"&lt;="&amp;$A46))</f>
        <v/>
      </c>
      <c r="AC46" s="17" t="str">
        <f aca="false">IF($A46="","",SUMIFS(transactions!$I$2:$I$501,transactions!$C$2:$C$501,AC$1,transactions!$B$2:$B$501,"&lt;="&amp;$A46))</f>
        <v/>
      </c>
      <c r="AD46" s="17" t="str">
        <f aca="false">IF($A46="","",SUMIFS(transactions!$I$2:$I$501,transactions!$C$2:$C$501,AD$1,transactions!$B$2:$B$501,"&lt;="&amp;$A46))</f>
        <v/>
      </c>
      <c r="AE46" s="17" t="str">
        <f aca="false">IF($A46="","",SUMIFS(transactions!$I$2:$I$501,transactions!$C$2:$C$501,AE$1,transactions!$B$2:$B$501,"&lt;="&amp;$A46))</f>
        <v/>
      </c>
      <c r="AF46" s="17" t="str">
        <f aca="false">IF($A46="","",SUMIFS(transactions!$I$2:$I$501,transactions!$C$2:$C$501,AF$1,transactions!$B$2:$B$501,"&lt;="&amp;$A46))</f>
        <v/>
      </c>
      <c r="AG46" s="17" t="str">
        <f aca="false">IF($A46="","",SUMIFS(transactions!$I$2:$I$501,transactions!$C$2:$C$501,AG$1,transactions!$B$2:$B$501,"&lt;="&amp;$A46))</f>
        <v/>
      </c>
      <c r="AH46" s="17" t="str">
        <f aca="false">IF($A46="","",SUMIFS(transactions!$I$2:$I$501,transactions!$C$2:$C$501,AH$1,transactions!$B$2:$B$501,"&lt;="&amp;$A46))</f>
        <v/>
      </c>
      <c r="AI46" s="17" t="str">
        <f aca="false">IF($A46="","",SUMIFS(transactions!$I$2:$I$501,transactions!$C$2:$C$501,AI$1,transactions!$B$2:$B$501,"&lt;="&amp;$A46))</f>
        <v/>
      </c>
      <c r="AJ46" s="17" t="str">
        <f aca="false">IF($A46="","",SUMIFS(transactions!$I$2:$I$501,transactions!$C$2:$C$501,AJ$1,transactions!$B$2:$B$501,"&lt;="&amp;$A46))</f>
        <v/>
      </c>
    </row>
    <row r="47" customFormat="false" ht="15" hidden="false" customHeight="false" outlineLevel="0" collapsed="false">
      <c r="A47" s="20" t="str">
        <f aca="false">IF(prices!A47="","",prices!A47)</f>
        <v/>
      </c>
      <c r="B47" s="17" t="str">
        <f aca="false">IF($A47="","",SUMIFS(transactions!$I$2:$I$501,transactions!$C$2:$C$501,B$1,transactions!$B$2:$B$501,"&lt;="&amp;$A47))</f>
        <v/>
      </c>
      <c r="C47" s="17" t="str">
        <f aca="false">IF($A47="","",SUMIFS(transactions!$I$2:$I$501,transactions!$C$2:$C$501,C$1,transactions!$B$2:$B$501,"&lt;="&amp;$A47))</f>
        <v/>
      </c>
      <c r="D47" s="17" t="str">
        <f aca="false">IF($A47="","",SUMIFS(transactions!$I$2:$I$501,transactions!$C$2:$C$501,D$1,transactions!$B$2:$B$501,"&lt;="&amp;$A47))</f>
        <v/>
      </c>
      <c r="E47" s="17" t="str">
        <f aca="false">IF($A47="","",SUMIFS(transactions!$I$2:$I$501,transactions!$C$2:$C$501,E$1,transactions!$B$2:$B$501,"&lt;="&amp;$A47))</f>
        <v/>
      </c>
      <c r="F47" s="17" t="str">
        <f aca="false">IF($A47="","",SUMIFS(transactions!$I$2:$I$501,transactions!$C$2:$C$501,F$1,transactions!$B$2:$B$501,"&lt;="&amp;$A47))</f>
        <v/>
      </c>
      <c r="G47" s="17" t="str">
        <f aca="false">IF($A47="","",SUMIFS(transactions!$I$2:$I$501,transactions!$C$2:$C$501,G$1,transactions!$B$2:$B$501,"&lt;="&amp;$A47))</f>
        <v/>
      </c>
      <c r="H47" s="17" t="str">
        <f aca="false">IF($A47="","",SUMIFS(transactions!$I$2:$I$501,transactions!$C$2:$C$501,H$1,transactions!$B$2:$B$501,"&lt;="&amp;$A47))</f>
        <v/>
      </c>
      <c r="I47" s="17" t="str">
        <f aca="false">IF($A47="","",SUMIFS(transactions!$I$2:$I$501,transactions!$C$2:$C$501,I$1,transactions!$B$2:$B$501,"&lt;="&amp;$A47))</f>
        <v/>
      </c>
      <c r="J47" s="17" t="str">
        <f aca="false">IF($A47="","",SUMIFS(transactions!$I$2:$I$501,transactions!$C$2:$C$501,J$1,transactions!$B$2:$B$501,"&lt;="&amp;$A47))</f>
        <v/>
      </c>
      <c r="K47" s="17" t="str">
        <f aca="false">IF($A47="","",SUMIFS(transactions!$I$2:$I$501,transactions!$C$2:$C$501,K$1,transactions!$B$2:$B$501,"&lt;="&amp;$A47))</f>
        <v/>
      </c>
      <c r="L47" s="17" t="str">
        <f aca="false">IF($A47="","",SUMIFS(transactions!$I$2:$I$501,transactions!$C$2:$C$501,L$1,transactions!$B$2:$B$501,"&lt;="&amp;$A47))</f>
        <v/>
      </c>
      <c r="M47" s="17" t="str">
        <f aca="false">IF($A47="","",SUMIFS(transactions!$I$2:$I$501,transactions!$C$2:$C$501,M$1,transactions!$B$2:$B$501,"&lt;="&amp;$A47))</f>
        <v/>
      </c>
      <c r="N47" s="17" t="str">
        <f aca="false">IF($A47="","",SUMIFS(transactions!$I$2:$I$501,transactions!$C$2:$C$501,N$1,transactions!$B$2:$B$501,"&lt;="&amp;$A47))</f>
        <v/>
      </c>
      <c r="O47" s="17" t="str">
        <f aca="false">IF($A47="","",SUMIFS(transactions!$I$2:$I$501,transactions!$C$2:$C$501,O$1,transactions!$B$2:$B$501,"&lt;="&amp;$A47))</f>
        <v/>
      </c>
      <c r="P47" s="17" t="str">
        <f aca="false">IF($A47="","",SUMIFS(transactions!$I$2:$I$501,transactions!$C$2:$C$501,P$1,transactions!$B$2:$B$501,"&lt;="&amp;$A47))</f>
        <v/>
      </c>
      <c r="Q47" s="17" t="str">
        <f aca="false">IF($A47="","",SUMIFS(transactions!$I$2:$I$501,transactions!$C$2:$C$501,Q$1,transactions!$B$2:$B$501,"&lt;="&amp;$A47))</f>
        <v/>
      </c>
      <c r="R47" s="17" t="str">
        <f aca="false">IF($A47="","",SUMIFS(transactions!$I$2:$I$501,transactions!$C$2:$C$501,R$1,transactions!$B$2:$B$501,"&lt;="&amp;$A47))</f>
        <v/>
      </c>
      <c r="S47" s="17" t="str">
        <f aca="false">IF($A47="","",SUMIFS(transactions!$I$2:$I$501,transactions!$C$2:$C$501,S$1,transactions!$B$2:$B$501,"&lt;="&amp;$A47))</f>
        <v/>
      </c>
      <c r="T47" s="17" t="str">
        <f aca="false">IF($A47="","",SUMIFS(transactions!$I$2:$I$501,transactions!$C$2:$C$501,T$1,transactions!$B$2:$B$501,"&lt;="&amp;$A47))</f>
        <v/>
      </c>
      <c r="U47" s="17" t="str">
        <f aca="false">IF($A47="","",SUMIFS(transactions!$I$2:$I$501,transactions!$C$2:$C$501,U$1,transactions!$B$2:$B$501,"&lt;="&amp;$A47))</f>
        <v/>
      </c>
      <c r="V47" s="17" t="str">
        <f aca="false">IF($A47="","",SUMIFS(transactions!$I$2:$I$501,transactions!$C$2:$C$501,V$1,transactions!$B$2:$B$501,"&lt;="&amp;$A47))</f>
        <v/>
      </c>
      <c r="W47" s="17" t="str">
        <f aca="false">IF($A47="","",SUMIFS(transactions!$I$2:$I$501,transactions!$C$2:$C$501,W$1,transactions!$B$2:$B$501,"&lt;="&amp;$A47))</f>
        <v/>
      </c>
      <c r="X47" s="17" t="str">
        <f aca="false">IF($A47="","",SUMIFS(transactions!$I$2:$I$501,transactions!$C$2:$C$501,X$1,transactions!$B$2:$B$501,"&lt;="&amp;$A47))</f>
        <v/>
      </c>
      <c r="Y47" s="17" t="str">
        <f aca="false">IF($A47="","",SUMIFS(transactions!$I$2:$I$501,transactions!$C$2:$C$501,Y$1,transactions!$B$2:$B$501,"&lt;="&amp;$A47))</f>
        <v/>
      </c>
      <c r="Z47" s="17" t="str">
        <f aca="false">IF($A47="","",SUMIFS(transactions!$I$2:$I$501,transactions!$C$2:$C$501,Z$1,transactions!$B$2:$B$501,"&lt;="&amp;$A47))</f>
        <v/>
      </c>
      <c r="AA47" s="17" t="str">
        <f aca="false">IF($A47="","",SUMIFS(transactions!$I$2:$I$501,transactions!$C$2:$C$501,AA$1,transactions!$B$2:$B$501,"&lt;="&amp;$A47))</f>
        <v/>
      </c>
      <c r="AB47" s="17" t="str">
        <f aca="false">IF($A47="","",SUMIFS(transactions!$I$2:$I$501,transactions!$C$2:$C$501,AB$1,transactions!$B$2:$B$501,"&lt;="&amp;$A47))</f>
        <v/>
      </c>
      <c r="AC47" s="17" t="str">
        <f aca="false">IF($A47="","",SUMIFS(transactions!$I$2:$I$501,transactions!$C$2:$C$501,AC$1,transactions!$B$2:$B$501,"&lt;="&amp;$A47))</f>
        <v/>
      </c>
      <c r="AD47" s="17" t="str">
        <f aca="false">IF($A47="","",SUMIFS(transactions!$I$2:$I$501,transactions!$C$2:$C$501,AD$1,transactions!$B$2:$B$501,"&lt;="&amp;$A47))</f>
        <v/>
      </c>
      <c r="AE47" s="17" t="str">
        <f aca="false">IF($A47="","",SUMIFS(transactions!$I$2:$I$501,transactions!$C$2:$C$501,AE$1,transactions!$B$2:$B$501,"&lt;="&amp;$A47))</f>
        <v/>
      </c>
      <c r="AF47" s="17" t="str">
        <f aca="false">IF($A47="","",SUMIFS(transactions!$I$2:$I$501,transactions!$C$2:$C$501,AF$1,transactions!$B$2:$B$501,"&lt;="&amp;$A47))</f>
        <v/>
      </c>
      <c r="AG47" s="17" t="str">
        <f aca="false">IF($A47="","",SUMIFS(transactions!$I$2:$I$501,transactions!$C$2:$C$501,AG$1,transactions!$B$2:$B$501,"&lt;="&amp;$A47))</f>
        <v/>
      </c>
      <c r="AH47" s="17" t="str">
        <f aca="false">IF($A47="","",SUMIFS(transactions!$I$2:$I$501,transactions!$C$2:$C$501,AH$1,transactions!$B$2:$B$501,"&lt;="&amp;$A47))</f>
        <v/>
      </c>
      <c r="AI47" s="17" t="str">
        <f aca="false">IF($A47="","",SUMIFS(transactions!$I$2:$I$501,transactions!$C$2:$C$501,AI$1,transactions!$B$2:$B$501,"&lt;="&amp;$A47))</f>
        <v/>
      </c>
      <c r="AJ47" s="17" t="str">
        <f aca="false">IF($A47="","",SUMIFS(transactions!$I$2:$I$501,transactions!$C$2:$C$501,AJ$1,transactions!$B$2:$B$501,"&lt;="&amp;$A47))</f>
        <v/>
      </c>
    </row>
    <row r="48" customFormat="false" ht="15" hidden="false" customHeight="false" outlineLevel="0" collapsed="false">
      <c r="A48" s="20" t="str">
        <f aca="false">IF(prices!A48="","",prices!A48)</f>
        <v/>
      </c>
      <c r="B48" s="17" t="str">
        <f aca="false">IF($A48="","",SUMIFS(transactions!$I$2:$I$501,transactions!$C$2:$C$501,B$1,transactions!$B$2:$B$501,"&lt;="&amp;$A48))</f>
        <v/>
      </c>
      <c r="C48" s="17" t="str">
        <f aca="false">IF($A48="","",SUMIFS(transactions!$I$2:$I$501,transactions!$C$2:$C$501,C$1,transactions!$B$2:$B$501,"&lt;="&amp;$A48))</f>
        <v/>
      </c>
      <c r="D48" s="17" t="str">
        <f aca="false">IF($A48="","",SUMIFS(transactions!$I$2:$I$501,transactions!$C$2:$C$501,D$1,transactions!$B$2:$B$501,"&lt;="&amp;$A48))</f>
        <v/>
      </c>
      <c r="E48" s="17" t="str">
        <f aca="false">IF($A48="","",SUMIFS(transactions!$I$2:$I$501,transactions!$C$2:$C$501,E$1,transactions!$B$2:$B$501,"&lt;="&amp;$A48))</f>
        <v/>
      </c>
      <c r="F48" s="17" t="str">
        <f aca="false">IF($A48="","",SUMIFS(transactions!$I$2:$I$501,transactions!$C$2:$C$501,F$1,transactions!$B$2:$B$501,"&lt;="&amp;$A48))</f>
        <v/>
      </c>
      <c r="G48" s="17" t="str">
        <f aca="false">IF($A48="","",SUMIFS(transactions!$I$2:$I$501,transactions!$C$2:$C$501,G$1,transactions!$B$2:$B$501,"&lt;="&amp;$A48))</f>
        <v/>
      </c>
      <c r="H48" s="17" t="str">
        <f aca="false">IF($A48="","",SUMIFS(transactions!$I$2:$I$501,transactions!$C$2:$C$501,H$1,transactions!$B$2:$B$501,"&lt;="&amp;$A48))</f>
        <v/>
      </c>
      <c r="I48" s="17" t="str">
        <f aca="false">IF($A48="","",SUMIFS(transactions!$I$2:$I$501,transactions!$C$2:$C$501,I$1,transactions!$B$2:$B$501,"&lt;="&amp;$A48))</f>
        <v/>
      </c>
      <c r="J48" s="17" t="str">
        <f aca="false">IF($A48="","",SUMIFS(transactions!$I$2:$I$501,transactions!$C$2:$C$501,J$1,transactions!$B$2:$B$501,"&lt;="&amp;$A48))</f>
        <v/>
      </c>
      <c r="K48" s="17" t="str">
        <f aca="false">IF($A48="","",SUMIFS(transactions!$I$2:$I$501,transactions!$C$2:$C$501,K$1,transactions!$B$2:$B$501,"&lt;="&amp;$A48))</f>
        <v/>
      </c>
      <c r="L48" s="17" t="str">
        <f aca="false">IF($A48="","",SUMIFS(transactions!$I$2:$I$501,transactions!$C$2:$C$501,L$1,transactions!$B$2:$B$501,"&lt;="&amp;$A48))</f>
        <v/>
      </c>
      <c r="M48" s="17" t="str">
        <f aca="false">IF($A48="","",SUMIFS(transactions!$I$2:$I$501,transactions!$C$2:$C$501,M$1,transactions!$B$2:$B$501,"&lt;="&amp;$A48))</f>
        <v/>
      </c>
      <c r="N48" s="17" t="str">
        <f aca="false">IF($A48="","",SUMIFS(transactions!$I$2:$I$501,transactions!$C$2:$C$501,N$1,transactions!$B$2:$B$501,"&lt;="&amp;$A48))</f>
        <v/>
      </c>
      <c r="O48" s="17" t="str">
        <f aca="false">IF($A48="","",SUMIFS(transactions!$I$2:$I$501,transactions!$C$2:$C$501,O$1,transactions!$B$2:$B$501,"&lt;="&amp;$A48))</f>
        <v/>
      </c>
      <c r="P48" s="17" t="str">
        <f aca="false">IF($A48="","",SUMIFS(transactions!$I$2:$I$501,transactions!$C$2:$C$501,P$1,transactions!$B$2:$B$501,"&lt;="&amp;$A48))</f>
        <v/>
      </c>
      <c r="Q48" s="17" t="str">
        <f aca="false">IF($A48="","",SUMIFS(transactions!$I$2:$I$501,transactions!$C$2:$C$501,Q$1,transactions!$B$2:$B$501,"&lt;="&amp;$A48))</f>
        <v/>
      </c>
      <c r="R48" s="17" t="str">
        <f aca="false">IF($A48="","",SUMIFS(transactions!$I$2:$I$501,transactions!$C$2:$C$501,R$1,transactions!$B$2:$B$501,"&lt;="&amp;$A48))</f>
        <v/>
      </c>
      <c r="S48" s="17" t="str">
        <f aca="false">IF($A48="","",SUMIFS(transactions!$I$2:$I$501,transactions!$C$2:$C$501,S$1,transactions!$B$2:$B$501,"&lt;="&amp;$A48))</f>
        <v/>
      </c>
      <c r="T48" s="17" t="str">
        <f aca="false">IF($A48="","",SUMIFS(transactions!$I$2:$I$501,transactions!$C$2:$C$501,T$1,transactions!$B$2:$B$501,"&lt;="&amp;$A48))</f>
        <v/>
      </c>
      <c r="U48" s="17" t="str">
        <f aca="false">IF($A48="","",SUMIFS(transactions!$I$2:$I$501,transactions!$C$2:$C$501,U$1,transactions!$B$2:$B$501,"&lt;="&amp;$A48))</f>
        <v/>
      </c>
      <c r="V48" s="17" t="str">
        <f aca="false">IF($A48="","",SUMIFS(transactions!$I$2:$I$501,transactions!$C$2:$C$501,V$1,transactions!$B$2:$B$501,"&lt;="&amp;$A48))</f>
        <v/>
      </c>
      <c r="W48" s="17" t="str">
        <f aca="false">IF($A48="","",SUMIFS(transactions!$I$2:$I$501,transactions!$C$2:$C$501,W$1,transactions!$B$2:$B$501,"&lt;="&amp;$A48))</f>
        <v/>
      </c>
      <c r="X48" s="17" t="str">
        <f aca="false">IF($A48="","",SUMIFS(transactions!$I$2:$I$501,transactions!$C$2:$C$501,X$1,transactions!$B$2:$B$501,"&lt;="&amp;$A48))</f>
        <v/>
      </c>
      <c r="Y48" s="17" t="str">
        <f aca="false">IF($A48="","",SUMIFS(transactions!$I$2:$I$501,transactions!$C$2:$C$501,Y$1,transactions!$B$2:$B$501,"&lt;="&amp;$A48))</f>
        <v/>
      </c>
      <c r="Z48" s="17" t="str">
        <f aca="false">IF($A48="","",SUMIFS(transactions!$I$2:$I$501,transactions!$C$2:$C$501,Z$1,transactions!$B$2:$B$501,"&lt;="&amp;$A48))</f>
        <v/>
      </c>
      <c r="AA48" s="17" t="str">
        <f aca="false">IF($A48="","",SUMIFS(transactions!$I$2:$I$501,transactions!$C$2:$C$501,AA$1,transactions!$B$2:$B$501,"&lt;="&amp;$A48))</f>
        <v/>
      </c>
      <c r="AB48" s="17" t="str">
        <f aca="false">IF($A48="","",SUMIFS(transactions!$I$2:$I$501,transactions!$C$2:$C$501,AB$1,transactions!$B$2:$B$501,"&lt;="&amp;$A48))</f>
        <v/>
      </c>
      <c r="AC48" s="17" t="str">
        <f aca="false">IF($A48="","",SUMIFS(transactions!$I$2:$I$501,transactions!$C$2:$C$501,AC$1,transactions!$B$2:$B$501,"&lt;="&amp;$A48))</f>
        <v/>
      </c>
      <c r="AD48" s="17" t="str">
        <f aca="false">IF($A48="","",SUMIFS(transactions!$I$2:$I$501,transactions!$C$2:$C$501,AD$1,transactions!$B$2:$B$501,"&lt;="&amp;$A48))</f>
        <v/>
      </c>
      <c r="AE48" s="17" t="str">
        <f aca="false">IF($A48="","",SUMIFS(transactions!$I$2:$I$501,transactions!$C$2:$C$501,AE$1,transactions!$B$2:$B$501,"&lt;="&amp;$A48))</f>
        <v/>
      </c>
      <c r="AF48" s="17" t="str">
        <f aca="false">IF($A48="","",SUMIFS(transactions!$I$2:$I$501,transactions!$C$2:$C$501,AF$1,transactions!$B$2:$B$501,"&lt;="&amp;$A48))</f>
        <v/>
      </c>
      <c r="AG48" s="17" t="str">
        <f aca="false">IF($A48="","",SUMIFS(transactions!$I$2:$I$501,transactions!$C$2:$C$501,AG$1,transactions!$B$2:$B$501,"&lt;="&amp;$A48))</f>
        <v/>
      </c>
      <c r="AH48" s="17" t="str">
        <f aca="false">IF($A48="","",SUMIFS(transactions!$I$2:$I$501,transactions!$C$2:$C$501,AH$1,transactions!$B$2:$B$501,"&lt;="&amp;$A48))</f>
        <v/>
      </c>
      <c r="AI48" s="17" t="str">
        <f aca="false">IF($A48="","",SUMIFS(transactions!$I$2:$I$501,transactions!$C$2:$C$501,AI$1,transactions!$B$2:$B$501,"&lt;="&amp;$A48))</f>
        <v/>
      </c>
      <c r="AJ48" s="17" t="str">
        <f aca="false">IF($A48="","",SUMIFS(transactions!$I$2:$I$501,transactions!$C$2:$C$501,AJ$1,transactions!$B$2:$B$501,"&lt;="&amp;$A48))</f>
        <v/>
      </c>
    </row>
    <row r="49" customFormat="false" ht="15" hidden="false" customHeight="false" outlineLevel="0" collapsed="false">
      <c r="A49" s="20" t="str">
        <f aca="false">IF(prices!A49="","",prices!A49)</f>
        <v/>
      </c>
      <c r="B49" s="17" t="str">
        <f aca="false">IF($A49="","",SUMIFS(transactions!$I$2:$I$501,transactions!$C$2:$C$501,B$1,transactions!$B$2:$B$501,"&lt;="&amp;$A49))</f>
        <v/>
      </c>
      <c r="C49" s="17" t="str">
        <f aca="false">IF($A49="","",SUMIFS(transactions!$I$2:$I$501,transactions!$C$2:$C$501,C$1,transactions!$B$2:$B$501,"&lt;="&amp;$A49))</f>
        <v/>
      </c>
      <c r="D49" s="17" t="str">
        <f aca="false">IF($A49="","",SUMIFS(transactions!$I$2:$I$501,transactions!$C$2:$C$501,D$1,transactions!$B$2:$B$501,"&lt;="&amp;$A49))</f>
        <v/>
      </c>
      <c r="E49" s="17" t="str">
        <f aca="false">IF($A49="","",SUMIFS(transactions!$I$2:$I$501,transactions!$C$2:$C$501,E$1,transactions!$B$2:$B$501,"&lt;="&amp;$A49))</f>
        <v/>
      </c>
      <c r="F49" s="17" t="str">
        <f aca="false">IF($A49="","",SUMIFS(transactions!$I$2:$I$501,transactions!$C$2:$C$501,F$1,transactions!$B$2:$B$501,"&lt;="&amp;$A49))</f>
        <v/>
      </c>
      <c r="G49" s="17" t="str">
        <f aca="false">IF($A49="","",SUMIFS(transactions!$I$2:$I$501,transactions!$C$2:$C$501,G$1,transactions!$B$2:$B$501,"&lt;="&amp;$A49))</f>
        <v/>
      </c>
      <c r="H49" s="17" t="str">
        <f aca="false">IF($A49="","",SUMIFS(transactions!$I$2:$I$501,transactions!$C$2:$C$501,H$1,transactions!$B$2:$B$501,"&lt;="&amp;$A49))</f>
        <v/>
      </c>
      <c r="I49" s="17" t="str">
        <f aca="false">IF($A49="","",SUMIFS(transactions!$I$2:$I$501,transactions!$C$2:$C$501,I$1,transactions!$B$2:$B$501,"&lt;="&amp;$A49))</f>
        <v/>
      </c>
      <c r="J49" s="17" t="str">
        <f aca="false">IF($A49="","",SUMIFS(transactions!$I$2:$I$501,transactions!$C$2:$C$501,J$1,transactions!$B$2:$B$501,"&lt;="&amp;$A49))</f>
        <v/>
      </c>
      <c r="K49" s="17" t="str">
        <f aca="false">IF($A49="","",SUMIFS(transactions!$I$2:$I$501,transactions!$C$2:$C$501,K$1,transactions!$B$2:$B$501,"&lt;="&amp;$A49))</f>
        <v/>
      </c>
      <c r="L49" s="17" t="str">
        <f aca="false">IF($A49="","",SUMIFS(transactions!$I$2:$I$501,transactions!$C$2:$C$501,L$1,transactions!$B$2:$B$501,"&lt;="&amp;$A49))</f>
        <v/>
      </c>
      <c r="M49" s="17" t="str">
        <f aca="false">IF($A49="","",SUMIFS(transactions!$I$2:$I$501,transactions!$C$2:$C$501,M$1,transactions!$B$2:$B$501,"&lt;="&amp;$A49))</f>
        <v/>
      </c>
      <c r="N49" s="17" t="str">
        <f aca="false">IF($A49="","",SUMIFS(transactions!$I$2:$I$501,transactions!$C$2:$C$501,N$1,transactions!$B$2:$B$501,"&lt;="&amp;$A49))</f>
        <v/>
      </c>
      <c r="O49" s="17" t="str">
        <f aca="false">IF($A49="","",SUMIFS(transactions!$I$2:$I$501,transactions!$C$2:$C$501,O$1,transactions!$B$2:$B$501,"&lt;="&amp;$A49))</f>
        <v/>
      </c>
      <c r="P49" s="17" t="str">
        <f aca="false">IF($A49="","",SUMIFS(transactions!$I$2:$I$501,transactions!$C$2:$C$501,P$1,transactions!$B$2:$B$501,"&lt;="&amp;$A49))</f>
        <v/>
      </c>
      <c r="Q49" s="17" t="str">
        <f aca="false">IF($A49="","",SUMIFS(transactions!$I$2:$I$501,transactions!$C$2:$C$501,Q$1,transactions!$B$2:$B$501,"&lt;="&amp;$A49))</f>
        <v/>
      </c>
      <c r="R49" s="17" t="str">
        <f aca="false">IF($A49="","",SUMIFS(transactions!$I$2:$I$501,transactions!$C$2:$C$501,R$1,transactions!$B$2:$B$501,"&lt;="&amp;$A49))</f>
        <v/>
      </c>
      <c r="S49" s="17" t="str">
        <f aca="false">IF($A49="","",SUMIFS(transactions!$I$2:$I$501,transactions!$C$2:$C$501,S$1,transactions!$B$2:$B$501,"&lt;="&amp;$A49))</f>
        <v/>
      </c>
      <c r="T49" s="17" t="str">
        <f aca="false">IF($A49="","",SUMIFS(transactions!$I$2:$I$501,transactions!$C$2:$C$501,T$1,transactions!$B$2:$B$501,"&lt;="&amp;$A49))</f>
        <v/>
      </c>
      <c r="U49" s="17" t="str">
        <f aca="false">IF($A49="","",SUMIFS(transactions!$I$2:$I$501,transactions!$C$2:$C$501,U$1,transactions!$B$2:$B$501,"&lt;="&amp;$A49))</f>
        <v/>
      </c>
      <c r="V49" s="17" t="str">
        <f aca="false">IF($A49="","",SUMIFS(transactions!$I$2:$I$501,transactions!$C$2:$C$501,V$1,transactions!$B$2:$B$501,"&lt;="&amp;$A49))</f>
        <v/>
      </c>
      <c r="W49" s="17" t="str">
        <f aca="false">IF($A49="","",SUMIFS(transactions!$I$2:$I$501,transactions!$C$2:$C$501,W$1,transactions!$B$2:$B$501,"&lt;="&amp;$A49))</f>
        <v/>
      </c>
      <c r="X49" s="17" t="str">
        <f aca="false">IF($A49="","",SUMIFS(transactions!$I$2:$I$501,transactions!$C$2:$C$501,X$1,transactions!$B$2:$B$501,"&lt;="&amp;$A49))</f>
        <v/>
      </c>
      <c r="Y49" s="17" t="str">
        <f aca="false">IF($A49="","",SUMIFS(transactions!$I$2:$I$501,transactions!$C$2:$C$501,Y$1,transactions!$B$2:$B$501,"&lt;="&amp;$A49))</f>
        <v/>
      </c>
      <c r="Z49" s="17" t="str">
        <f aca="false">IF($A49="","",SUMIFS(transactions!$I$2:$I$501,transactions!$C$2:$C$501,Z$1,transactions!$B$2:$B$501,"&lt;="&amp;$A49))</f>
        <v/>
      </c>
      <c r="AA49" s="17" t="str">
        <f aca="false">IF($A49="","",SUMIFS(transactions!$I$2:$I$501,transactions!$C$2:$C$501,AA$1,transactions!$B$2:$B$501,"&lt;="&amp;$A49))</f>
        <v/>
      </c>
      <c r="AB49" s="17" t="str">
        <f aca="false">IF($A49="","",SUMIFS(transactions!$I$2:$I$501,transactions!$C$2:$C$501,AB$1,transactions!$B$2:$B$501,"&lt;="&amp;$A49))</f>
        <v/>
      </c>
      <c r="AC49" s="17" t="str">
        <f aca="false">IF($A49="","",SUMIFS(transactions!$I$2:$I$501,transactions!$C$2:$C$501,AC$1,transactions!$B$2:$B$501,"&lt;="&amp;$A49))</f>
        <v/>
      </c>
      <c r="AD49" s="17" t="str">
        <f aca="false">IF($A49="","",SUMIFS(transactions!$I$2:$I$501,transactions!$C$2:$C$501,AD$1,transactions!$B$2:$B$501,"&lt;="&amp;$A49))</f>
        <v/>
      </c>
      <c r="AE49" s="17" t="str">
        <f aca="false">IF($A49="","",SUMIFS(transactions!$I$2:$I$501,transactions!$C$2:$C$501,AE$1,transactions!$B$2:$B$501,"&lt;="&amp;$A49))</f>
        <v/>
      </c>
      <c r="AF49" s="17" t="str">
        <f aca="false">IF($A49="","",SUMIFS(transactions!$I$2:$I$501,transactions!$C$2:$C$501,AF$1,transactions!$B$2:$B$501,"&lt;="&amp;$A49))</f>
        <v/>
      </c>
      <c r="AG49" s="17" t="str">
        <f aca="false">IF($A49="","",SUMIFS(transactions!$I$2:$I$501,transactions!$C$2:$C$501,AG$1,transactions!$B$2:$B$501,"&lt;="&amp;$A49))</f>
        <v/>
      </c>
      <c r="AH49" s="17" t="str">
        <f aca="false">IF($A49="","",SUMIFS(transactions!$I$2:$I$501,transactions!$C$2:$C$501,AH$1,transactions!$B$2:$B$501,"&lt;="&amp;$A49))</f>
        <v/>
      </c>
      <c r="AI49" s="17" t="str">
        <f aca="false">IF($A49="","",SUMIFS(transactions!$I$2:$I$501,transactions!$C$2:$C$501,AI$1,transactions!$B$2:$B$501,"&lt;="&amp;$A49))</f>
        <v/>
      </c>
      <c r="AJ49" s="17" t="str">
        <f aca="false">IF($A49="","",SUMIFS(transactions!$I$2:$I$501,transactions!$C$2:$C$501,AJ$1,transactions!$B$2:$B$501,"&lt;="&amp;$A49))</f>
        <v/>
      </c>
    </row>
    <row r="50" customFormat="false" ht="15" hidden="false" customHeight="false" outlineLevel="0" collapsed="false">
      <c r="A50" s="20" t="str">
        <f aca="false">IF(prices!A50="","",prices!A50)</f>
        <v/>
      </c>
      <c r="B50" s="17" t="str">
        <f aca="false">IF($A50="","",SUMIFS(transactions!$I$2:$I$501,transactions!$C$2:$C$501,B$1,transactions!$B$2:$B$501,"&lt;="&amp;$A50))</f>
        <v/>
      </c>
      <c r="C50" s="17" t="str">
        <f aca="false">IF($A50="","",SUMIFS(transactions!$I$2:$I$501,transactions!$C$2:$C$501,C$1,transactions!$B$2:$B$501,"&lt;="&amp;$A50))</f>
        <v/>
      </c>
      <c r="D50" s="17" t="str">
        <f aca="false">IF($A50="","",SUMIFS(transactions!$I$2:$I$501,transactions!$C$2:$C$501,D$1,transactions!$B$2:$B$501,"&lt;="&amp;$A50))</f>
        <v/>
      </c>
      <c r="E50" s="17" t="str">
        <f aca="false">IF($A50="","",SUMIFS(transactions!$I$2:$I$501,transactions!$C$2:$C$501,E$1,transactions!$B$2:$B$501,"&lt;="&amp;$A50))</f>
        <v/>
      </c>
      <c r="F50" s="17" t="str">
        <f aca="false">IF($A50="","",SUMIFS(transactions!$I$2:$I$501,transactions!$C$2:$C$501,F$1,transactions!$B$2:$B$501,"&lt;="&amp;$A50))</f>
        <v/>
      </c>
      <c r="G50" s="17" t="str">
        <f aca="false">IF($A50="","",SUMIFS(transactions!$I$2:$I$501,transactions!$C$2:$C$501,G$1,transactions!$B$2:$B$501,"&lt;="&amp;$A50))</f>
        <v/>
      </c>
      <c r="H50" s="17" t="str">
        <f aca="false">IF($A50="","",SUMIFS(transactions!$I$2:$I$501,transactions!$C$2:$C$501,H$1,transactions!$B$2:$B$501,"&lt;="&amp;$A50))</f>
        <v/>
      </c>
      <c r="I50" s="17" t="str">
        <f aca="false">IF($A50="","",SUMIFS(transactions!$I$2:$I$501,transactions!$C$2:$C$501,I$1,transactions!$B$2:$B$501,"&lt;="&amp;$A50))</f>
        <v/>
      </c>
      <c r="J50" s="17" t="str">
        <f aca="false">IF($A50="","",SUMIFS(transactions!$I$2:$I$501,transactions!$C$2:$C$501,J$1,transactions!$B$2:$B$501,"&lt;="&amp;$A50))</f>
        <v/>
      </c>
      <c r="K50" s="17" t="str">
        <f aca="false">IF($A50="","",SUMIFS(transactions!$I$2:$I$501,transactions!$C$2:$C$501,K$1,transactions!$B$2:$B$501,"&lt;="&amp;$A50))</f>
        <v/>
      </c>
      <c r="L50" s="17" t="str">
        <f aca="false">IF($A50="","",SUMIFS(transactions!$I$2:$I$501,transactions!$C$2:$C$501,L$1,transactions!$B$2:$B$501,"&lt;="&amp;$A50))</f>
        <v/>
      </c>
      <c r="M50" s="17" t="str">
        <f aca="false">IF($A50="","",SUMIFS(transactions!$I$2:$I$501,transactions!$C$2:$C$501,M$1,transactions!$B$2:$B$501,"&lt;="&amp;$A50))</f>
        <v/>
      </c>
      <c r="N50" s="17" t="str">
        <f aca="false">IF($A50="","",SUMIFS(transactions!$I$2:$I$501,transactions!$C$2:$C$501,N$1,transactions!$B$2:$B$501,"&lt;="&amp;$A50))</f>
        <v/>
      </c>
      <c r="O50" s="17" t="str">
        <f aca="false">IF($A50="","",SUMIFS(transactions!$I$2:$I$501,transactions!$C$2:$C$501,O$1,transactions!$B$2:$B$501,"&lt;="&amp;$A50))</f>
        <v/>
      </c>
      <c r="P50" s="17" t="str">
        <f aca="false">IF($A50="","",SUMIFS(transactions!$I$2:$I$501,transactions!$C$2:$C$501,P$1,transactions!$B$2:$B$501,"&lt;="&amp;$A50))</f>
        <v/>
      </c>
      <c r="Q50" s="17" t="str">
        <f aca="false">IF($A50="","",SUMIFS(transactions!$I$2:$I$501,transactions!$C$2:$C$501,Q$1,transactions!$B$2:$B$501,"&lt;="&amp;$A50))</f>
        <v/>
      </c>
      <c r="R50" s="17" t="str">
        <f aca="false">IF($A50="","",SUMIFS(transactions!$I$2:$I$501,transactions!$C$2:$C$501,R$1,transactions!$B$2:$B$501,"&lt;="&amp;$A50))</f>
        <v/>
      </c>
      <c r="S50" s="17" t="str">
        <f aca="false">IF($A50="","",SUMIFS(transactions!$I$2:$I$501,transactions!$C$2:$C$501,S$1,transactions!$B$2:$B$501,"&lt;="&amp;$A50))</f>
        <v/>
      </c>
      <c r="T50" s="17" t="str">
        <f aca="false">IF($A50="","",SUMIFS(transactions!$I$2:$I$501,transactions!$C$2:$C$501,T$1,transactions!$B$2:$B$501,"&lt;="&amp;$A50))</f>
        <v/>
      </c>
      <c r="U50" s="17" t="str">
        <f aca="false">IF($A50="","",SUMIFS(transactions!$I$2:$I$501,transactions!$C$2:$C$501,U$1,transactions!$B$2:$B$501,"&lt;="&amp;$A50))</f>
        <v/>
      </c>
      <c r="V50" s="17" t="str">
        <f aca="false">IF($A50="","",SUMIFS(transactions!$I$2:$I$501,transactions!$C$2:$C$501,V$1,transactions!$B$2:$B$501,"&lt;="&amp;$A50))</f>
        <v/>
      </c>
      <c r="W50" s="17" t="str">
        <f aca="false">IF($A50="","",SUMIFS(transactions!$I$2:$I$501,transactions!$C$2:$C$501,W$1,transactions!$B$2:$B$501,"&lt;="&amp;$A50))</f>
        <v/>
      </c>
      <c r="X50" s="17" t="str">
        <f aca="false">IF($A50="","",SUMIFS(transactions!$I$2:$I$501,transactions!$C$2:$C$501,X$1,transactions!$B$2:$B$501,"&lt;="&amp;$A50))</f>
        <v/>
      </c>
      <c r="Y50" s="17" t="str">
        <f aca="false">IF($A50="","",SUMIFS(transactions!$I$2:$I$501,transactions!$C$2:$C$501,Y$1,transactions!$B$2:$B$501,"&lt;="&amp;$A50))</f>
        <v/>
      </c>
      <c r="Z50" s="17" t="str">
        <f aca="false">IF($A50="","",SUMIFS(transactions!$I$2:$I$501,transactions!$C$2:$C$501,Z$1,transactions!$B$2:$B$501,"&lt;="&amp;$A50))</f>
        <v/>
      </c>
      <c r="AA50" s="17" t="str">
        <f aca="false">IF($A50="","",SUMIFS(transactions!$I$2:$I$501,transactions!$C$2:$C$501,AA$1,transactions!$B$2:$B$501,"&lt;="&amp;$A50))</f>
        <v/>
      </c>
      <c r="AB50" s="17" t="str">
        <f aca="false">IF($A50="","",SUMIFS(transactions!$I$2:$I$501,transactions!$C$2:$C$501,AB$1,transactions!$B$2:$B$501,"&lt;="&amp;$A50))</f>
        <v/>
      </c>
      <c r="AC50" s="17" t="str">
        <f aca="false">IF($A50="","",SUMIFS(transactions!$I$2:$I$501,transactions!$C$2:$C$501,AC$1,transactions!$B$2:$B$501,"&lt;="&amp;$A50))</f>
        <v/>
      </c>
      <c r="AD50" s="17" t="str">
        <f aca="false">IF($A50="","",SUMIFS(transactions!$I$2:$I$501,transactions!$C$2:$C$501,AD$1,transactions!$B$2:$B$501,"&lt;="&amp;$A50))</f>
        <v/>
      </c>
      <c r="AE50" s="17" t="str">
        <f aca="false">IF($A50="","",SUMIFS(transactions!$I$2:$I$501,transactions!$C$2:$C$501,AE$1,transactions!$B$2:$B$501,"&lt;="&amp;$A50))</f>
        <v/>
      </c>
      <c r="AF50" s="17" t="str">
        <f aca="false">IF($A50="","",SUMIFS(transactions!$I$2:$I$501,transactions!$C$2:$C$501,AF$1,transactions!$B$2:$B$501,"&lt;="&amp;$A50))</f>
        <v/>
      </c>
      <c r="AG50" s="17" t="str">
        <f aca="false">IF($A50="","",SUMIFS(transactions!$I$2:$I$501,transactions!$C$2:$C$501,AG$1,transactions!$B$2:$B$501,"&lt;="&amp;$A50))</f>
        <v/>
      </c>
      <c r="AH50" s="17" t="str">
        <f aca="false">IF($A50="","",SUMIFS(transactions!$I$2:$I$501,transactions!$C$2:$C$501,AH$1,transactions!$B$2:$B$501,"&lt;="&amp;$A50))</f>
        <v/>
      </c>
      <c r="AI50" s="17" t="str">
        <f aca="false">IF($A50="","",SUMIFS(transactions!$I$2:$I$501,transactions!$C$2:$C$501,AI$1,transactions!$B$2:$B$501,"&lt;="&amp;$A50))</f>
        <v/>
      </c>
      <c r="AJ50" s="17" t="str">
        <f aca="false">IF($A50="","",SUMIFS(transactions!$I$2:$I$501,transactions!$C$2:$C$501,AJ$1,transactions!$B$2:$B$501,"&lt;="&amp;$A50))</f>
        <v/>
      </c>
    </row>
    <row r="51" customFormat="false" ht="15" hidden="false" customHeight="false" outlineLevel="0" collapsed="false">
      <c r="A51" s="20" t="str">
        <f aca="false">IF(prices!A51="","",prices!A51)</f>
        <v/>
      </c>
      <c r="B51" s="17" t="str">
        <f aca="false">IF($A51="","",SUMIFS(transactions!$I$2:$I$501,transactions!$C$2:$C$501,B$1,transactions!$B$2:$B$501,"&lt;="&amp;$A51))</f>
        <v/>
      </c>
      <c r="C51" s="17" t="str">
        <f aca="false">IF($A51="","",SUMIFS(transactions!$I$2:$I$501,transactions!$C$2:$C$501,C$1,transactions!$B$2:$B$501,"&lt;="&amp;$A51))</f>
        <v/>
      </c>
      <c r="D51" s="17" t="str">
        <f aca="false">IF($A51="","",SUMIFS(transactions!$I$2:$I$501,transactions!$C$2:$C$501,D$1,transactions!$B$2:$B$501,"&lt;="&amp;$A51))</f>
        <v/>
      </c>
      <c r="E51" s="17" t="str">
        <f aca="false">IF($A51="","",SUMIFS(transactions!$I$2:$I$501,transactions!$C$2:$C$501,E$1,transactions!$B$2:$B$501,"&lt;="&amp;$A51))</f>
        <v/>
      </c>
      <c r="F51" s="17" t="str">
        <f aca="false">IF($A51="","",SUMIFS(transactions!$I$2:$I$501,transactions!$C$2:$C$501,F$1,transactions!$B$2:$B$501,"&lt;="&amp;$A51))</f>
        <v/>
      </c>
      <c r="G51" s="17" t="str">
        <f aca="false">IF($A51="","",SUMIFS(transactions!$I$2:$I$501,transactions!$C$2:$C$501,G$1,transactions!$B$2:$B$501,"&lt;="&amp;$A51))</f>
        <v/>
      </c>
      <c r="H51" s="17" t="str">
        <f aca="false">IF($A51="","",SUMIFS(transactions!$I$2:$I$501,transactions!$C$2:$C$501,H$1,transactions!$B$2:$B$501,"&lt;="&amp;$A51))</f>
        <v/>
      </c>
      <c r="I51" s="17" t="str">
        <f aca="false">IF($A51="","",SUMIFS(transactions!$I$2:$I$501,transactions!$C$2:$C$501,I$1,transactions!$B$2:$B$501,"&lt;="&amp;$A51))</f>
        <v/>
      </c>
      <c r="J51" s="17" t="str">
        <f aca="false">IF($A51="","",SUMIFS(transactions!$I$2:$I$501,transactions!$C$2:$C$501,J$1,transactions!$B$2:$B$501,"&lt;="&amp;$A51))</f>
        <v/>
      </c>
      <c r="K51" s="17" t="str">
        <f aca="false">IF($A51="","",SUMIFS(transactions!$I$2:$I$501,transactions!$C$2:$C$501,K$1,transactions!$B$2:$B$501,"&lt;="&amp;$A51))</f>
        <v/>
      </c>
      <c r="L51" s="17" t="str">
        <f aca="false">IF($A51="","",SUMIFS(transactions!$I$2:$I$501,transactions!$C$2:$C$501,L$1,transactions!$B$2:$B$501,"&lt;="&amp;$A51))</f>
        <v/>
      </c>
      <c r="M51" s="17" t="str">
        <f aca="false">IF($A51="","",SUMIFS(transactions!$I$2:$I$501,transactions!$C$2:$C$501,M$1,transactions!$B$2:$B$501,"&lt;="&amp;$A51))</f>
        <v/>
      </c>
      <c r="N51" s="17" t="str">
        <f aca="false">IF($A51="","",SUMIFS(transactions!$I$2:$I$501,transactions!$C$2:$C$501,N$1,transactions!$B$2:$B$501,"&lt;="&amp;$A51))</f>
        <v/>
      </c>
      <c r="O51" s="17" t="str">
        <f aca="false">IF($A51="","",SUMIFS(transactions!$I$2:$I$501,transactions!$C$2:$C$501,O$1,transactions!$B$2:$B$501,"&lt;="&amp;$A51))</f>
        <v/>
      </c>
      <c r="P51" s="17" t="str">
        <f aca="false">IF($A51="","",SUMIFS(transactions!$I$2:$I$501,transactions!$C$2:$C$501,P$1,transactions!$B$2:$B$501,"&lt;="&amp;$A51))</f>
        <v/>
      </c>
      <c r="Q51" s="17" t="str">
        <f aca="false">IF($A51="","",SUMIFS(transactions!$I$2:$I$501,transactions!$C$2:$C$501,Q$1,transactions!$B$2:$B$501,"&lt;="&amp;$A51))</f>
        <v/>
      </c>
      <c r="R51" s="17" t="str">
        <f aca="false">IF($A51="","",SUMIFS(transactions!$I$2:$I$501,transactions!$C$2:$C$501,R$1,transactions!$B$2:$B$501,"&lt;="&amp;$A51))</f>
        <v/>
      </c>
      <c r="S51" s="17" t="str">
        <f aca="false">IF($A51="","",SUMIFS(transactions!$I$2:$I$501,transactions!$C$2:$C$501,S$1,transactions!$B$2:$B$501,"&lt;="&amp;$A51))</f>
        <v/>
      </c>
      <c r="T51" s="17" t="str">
        <f aca="false">IF($A51="","",SUMIFS(transactions!$I$2:$I$501,transactions!$C$2:$C$501,T$1,transactions!$B$2:$B$501,"&lt;="&amp;$A51))</f>
        <v/>
      </c>
      <c r="U51" s="17" t="str">
        <f aca="false">IF($A51="","",SUMIFS(transactions!$I$2:$I$501,transactions!$C$2:$C$501,U$1,transactions!$B$2:$B$501,"&lt;="&amp;$A51))</f>
        <v/>
      </c>
      <c r="V51" s="17" t="str">
        <f aca="false">IF($A51="","",SUMIFS(transactions!$I$2:$I$501,transactions!$C$2:$C$501,V$1,transactions!$B$2:$B$501,"&lt;="&amp;$A51))</f>
        <v/>
      </c>
      <c r="W51" s="17" t="str">
        <f aca="false">IF($A51="","",SUMIFS(transactions!$I$2:$I$501,transactions!$C$2:$C$501,W$1,transactions!$B$2:$B$501,"&lt;="&amp;$A51))</f>
        <v/>
      </c>
      <c r="X51" s="17" t="str">
        <f aca="false">IF($A51="","",SUMIFS(transactions!$I$2:$I$501,transactions!$C$2:$C$501,X$1,transactions!$B$2:$B$501,"&lt;="&amp;$A51))</f>
        <v/>
      </c>
      <c r="Y51" s="17" t="str">
        <f aca="false">IF($A51="","",SUMIFS(transactions!$I$2:$I$501,transactions!$C$2:$C$501,Y$1,transactions!$B$2:$B$501,"&lt;="&amp;$A51))</f>
        <v/>
      </c>
      <c r="Z51" s="17" t="str">
        <f aca="false">IF($A51="","",SUMIFS(transactions!$I$2:$I$501,transactions!$C$2:$C$501,Z$1,transactions!$B$2:$B$501,"&lt;="&amp;$A51))</f>
        <v/>
      </c>
      <c r="AA51" s="17" t="str">
        <f aca="false">IF($A51="","",SUMIFS(transactions!$I$2:$I$501,transactions!$C$2:$C$501,AA$1,transactions!$B$2:$B$501,"&lt;="&amp;$A51))</f>
        <v/>
      </c>
      <c r="AB51" s="17" t="str">
        <f aca="false">IF($A51="","",SUMIFS(transactions!$I$2:$I$501,transactions!$C$2:$C$501,AB$1,transactions!$B$2:$B$501,"&lt;="&amp;$A51))</f>
        <v/>
      </c>
      <c r="AC51" s="17" t="str">
        <f aca="false">IF($A51="","",SUMIFS(transactions!$I$2:$I$501,transactions!$C$2:$C$501,AC$1,transactions!$B$2:$B$501,"&lt;="&amp;$A51))</f>
        <v/>
      </c>
      <c r="AD51" s="17" t="str">
        <f aca="false">IF($A51="","",SUMIFS(transactions!$I$2:$I$501,transactions!$C$2:$C$501,AD$1,transactions!$B$2:$B$501,"&lt;="&amp;$A51))</f>
        <v/>
      </c>
      <c r="AE51" s="17" t="str">
        <f aca="false">IF($A51="","",SUMIFS(transactions!$I$2:$I$501,transactions!$C$2:$C$501,AE$1,transactions!$B$2:$B$501,"&lt;="&amp;$A51))</f>
        <v/>
      </c>
      <c r="AF51" s="17" t="str">
        <f aca="false">IF($A51="","",SUMIFS(transactions!$I$2:$I$501,transactions!$C$2:$C$501,AF$1,transactions!$B$2:$B$501,"&lt;="&amp;$A51))</f>
        <v/>
      </c>
      <c r="AG51" s="17" t="str">
        <f aca="false">IF($A51="","",SUMIFS(transactions!$I$2:$I$501,transactions!$C$2:$C$501,AG$1,transactions!$B$2:$B$501,"&lt;="&amp;$A51))</f>
        <v/>
      </c>
      <c r="AH51" s="17" t="str">
        <f aca="false">IF($A51="","",SUMIFS(transactions!$I$2:$I$501,transactions!$C$2:$C$501,AH$1,transactions!$B$2:$B$501,"&lt;="&amp;$A51))</f>
        <v/>
      </c>
      <c r="AI51" s="17" t="str">
        <f aca="false">IF($A51="","",SUMIFS(transactions!$I$2:$I$501,transactions!$C$2:$C$501,AI$1,transactions!$B$2:$B$501,"&lt;="&amp;$A51))</f>
        <v/>
      </c>
      <c r="AJ51" s="17" t="str">
        <f aca="false">IF($A51="","",SUMIFS(transactions!$I$2:$I$501,transactions!$C$2:$C$501,AJ$1,transactions!$B$2:$B$501,"&lt;="&amp;$A51))</f>
        <v/>
      </c>
    </row>
    <row r="52" customFormat="false" ht="15" hidden="false" customHeight="false" outlineLevel="0" collapsed="false">
      <c r="A52" s="20" t="str">
        <f aca="false">IF(prices!A52="","",prices!A52)</f>
        <v/>
      </c>
      <c r="B52" s="17" t="str">
        <f aca="false">IF($A52="","",SUMIFS(transactions!$I$2:$I$501,transactions!$C$2:$C$501,B$1,transactions!$B$2:$B$501,"&lt;="&amp;$A52))</f>
        <v/>
      </c>
      <c r="C52" s="17" t="str">
        <f aca="false">IF($A52="","",SUMIFS(transactions!$I$2:$I$501,transactions!$C$2:$C$501,C$1,transactions!$B$2:$B$501,"&lt;="&amp;$A52))</f>
        <v/>
      </c>
      <c r="D52" s="17" t="str">
        <f aca="false">IF($A52="","",SUMIFS(transactions!$I$2:$I$501,transactions!$C$2:$C$501,D$1,transactions!$B$2:$B$501,"&lt;="&amp;$A52))</f>
        <v/>
      </c>
      <c r="E52" s="17" t="str">
        <f aca="false">IF($A52="","",SUMIFS(transactions!$I$2:$I$501,transactions!$C$2:$C$501,E$1,transactions!$B$2:$B$501,"&lt;="&amp;$A52))</f>
        <v/>
      </c>
      <c r="F52" s="17" t="str">
        <f aca="false">IF($A52="","",SUMIFS(transactions!$I$2:$I$501,transactions!$C$2:$C$501,F$1,transactions!$B$2:$B$501,"&lt;="&amp;$A52))</f>
        <v/>
      </c>
      <c r="G52" s="17" t="str">
        <f aca="false">IF($A52="","",SUMIFS(transactions!$I$2:$I$501,transactions!$C$2:$C$501,G$1,transactions!$B$2:$B$501,"&lt;="&amp;$A52))</f>
        <v/>
      </c>
      <c r="H52" s="17" t="str">
        <f aca="false">IF($A52="","",SUMIFS(transactions!$I$2:$I$501,transactions!$C$2:$C$501,H$1,transactions!$B$2:$B$501,"&lt;="&amp;$A52))</f>
        <v/>
      </c>
      <c r="I52" s="17" t="str">
        <f aca="false">IF($A52="","",SUMIFS(transactions!$I$2:$I$501,transactions!$C$2:$C$501,I$1,transactions!$B$2:$B$501,"&lt;="&amp;$A52))</f>
        <v/>
      </c>
      <c r="J52" s="17" t="str">
        <f aca="false">IF($A52="","",SUMIFS(transactions!$I$2:$I$501,transactions!$C$2:$C$501,J$1,transactions!$B$2:$B$501,"&lt;="&amp;$A52))</f>
        <v/>
      </c>
      <c r="K52" s="17" t="str">
        <f aca="false">IF($A52="","",SUMIFS(transactions!$I$2:$I$501,transactions!$C$2:$C$501,K$1,transactions!$B$2:$B$501,"&lt;="&amp;$A52))</f>
        <v/>
      </c>
      <c r="L52" s="17" t="str">
        <f aca="false">IF($A52="","",SUMIFS(transactions!$I$2:$I$501,transactions!$C$2:$C$501,L$1,transactions!$B$2:$B$501,"&lt;="&amp;$A52))</f>
        <v/>
      </c>
      <c r="M52" s="17" t="str">
        <f aca="false">IF($A52="","",SUMIFS(transactions!$I$2:$I$501,transactions!$C$2:$C$501,M$1,transactions!$B$2:$B$501,"&lt;="&amp;$A52))</f>
        <v/>
      </c>
      <c r="N52" s="17" t="str">
        <f aca="false">IF($A52="","",SUMIFS(transactions!$I$2:$I$501,transactions!$C$2:$C$501,N$1,transactions!$B$2:$B$501,"&lt;="&amp;$A52))</f>
        <v/>
      </c>
      <c r="O52" s="17" t="str">
        <f aca="false">IF($A52="","",SUMIFS(transactions!$I$2:$I$501,transactions!$C$2:$C$501,O$1,transactions!$B$2:$B$501,"&lt;="&amp;$A52))</f>
        <v/>
      </c>
      <c r="P52" s="17" t="str">
        <f aca="false">IF($A52="","",SUMIFS(transactions!$I$2:$I$501,transactions!$C$2:$C$501,P$1,transactions!$B$2:$B$501,"&lt;="&amp;$A52))</f>
        <v/>
      </c>
      <c r="Q52" s="17" t="str">
        <f aca="false">IF($A52="","",SUMIFS(transactions!$I$2:$I$501,transactions!$C$2:$C$501,Q$1,transactions!$B$2:$B$501,"&lt;="&amp;$A52))</f>
        <v/>
      </c>
      <c r="R52" s="17" t="str">
        <f aca="false">IF($A52="","",SUMIFS(transactions!$I$2:$I$501,transactions!$C$2:$C$501,R$1,transactions!$B$2:$B$501,"&lt;="&amp;$A52))</f>
        <v/>
      </c>
      <c r="S52" s="17" t="str">
        <f aca="false">IF($A52="","",SUMIFS(transactions!$I$2:$I$501,transactions!$C$2:$C$501,S$1,transactions!$B$2:$B$501,"&lt;="&amp;$A52))</f>
        <v/>
      </c>
      <c r="T52" s="17" t="str">
        <f aca="false">IF($A52="","",SUMIFS(transactions!$I$2:$I$501,transactions!$C$2:$C$501,T$1,transactions!$B$2:$B$501,"&lt;="&amp;$A52))</f>
        <v/>
      </c>
      <c r="U52" s="17" t="str">
        <f aca="false">IF($A52="","",SUMIFS(transactions!$I$2:$I$501,transactions!$C$2:$C$501,U$1,transactions!$B$2:$B$501,"&lt;="&amp;$A52))</f>
        <v/>
      </c>
      <c r="V52" s="17" t="str">
        <f aca="false">IF($A52="","",SUMIFS(transactions!$I$2:$I$501,transactions!$C$2:$C$501,V$1,transactions!$B$2:$B$501,"&lt;="&amp;$A52))</f>
        <v/>
      </c>
      <c r="W52" s="17" t="str">
        <f aca="false">IF($A52="","",SUMIFS(transactions!$I$2:$I$501,transactions!$C$2:$C$501,W$1,transactions!$B$2:$B$501,"&lt;="&amp;$A52))</f>
        <v/>
      </c>
      <c r="X52" s="17" t="str">
        <f aca="false">IF($A52="","",SUMIFS(transactions!$I$2:$I$501,transactions!$C$2:$C$501,X$1,transactions!$B$2:$B$501,"&lt;="&amp;$A52))</f>
        <v/>
      </c>
      <c r="Y52" s="17" t="str">
        <f aca="false">IF($A52="","",SUMIFS(transactions!$I$2:$I$501,transactions!$C$2:$C$501,Y$1,transactions!$B$2:$B$501,"&lt;="&amp;$A52))</f>
        <v/>
      </c>
      <c r="Z52" s="17" t="str">
        <f aca="false">IF($A52="","",SUMIFS(transactions!$I$2:$I$501,transactions!$C$2:$C$501,Z$1,transactions!$B$2:$B$501,"&lt;="&amp;$A52))</f>
        <v/>
      </c>
      <c r="AA52" s="17" t="str">
        <f aca="false">IF($A52="","",SUMIFS(transactions!$I$2:$I$501,transactions!$C$2:$C$501,AA$1,transactions!$B$2:$B$501,"&lt;="&amp;$A52))</f>
        <v/>
      </c>
      <c r="AB52" s="17" t="str">
        <f aca="false">IF($A52="","",SUMIFS(transactions!$I$2:$I$501,transactions!$C$2:$C$501,AB$1,transactions!$B$2:$B$501,"&lt;="&amp;$A52))</f>
        <v/>
      </c>
      <c r="AC52" s="17" t="str">
        <f aca="false">IF($A52="","",SUMIFS(transactions!$I$2:$I$501,transactions!$C$2:$C$501,AC$1,transactions!$B$2:$B$501,"&lt;="&amp;$A52))</f>
        <v/>
      </c>
      <c r="AD52" s="17" t="str">
        <f aca="false">IF($A52="","",SUMIFS(transactions!$I$2:$I$501,transactions!$C$2:$C$501,AD$1,transactions!$B$2:$B$501,"&lt;="&amp;$A52))</f>
        <v/>
      </c>
      <c r="AE52" s="17" t="str">
        <f aca="false">IF($A52="","",SUMIFS(transactions!$I$2:$I$501,transactions!$C$2:$C$501,AE$1,transactions!$B$2:$B$501,"&lt;="&amp;$A52))</f>
        <v/>
      </c>
      <c r="AF52" s="17" t="str">
        <f aca="false">IF($A52="","",SUMIFS(transactions!$I$2:$I$501,transactions!$C$2:$C$501,AF$1,transactions!$B$2:$B$501,"&lt;="&amp;$A52))</f>
        <v/>
      </c>
      <c r="AG52" s="17" t="str">
        <f aca="false">IF($A52="","",SUMIFS(transactions!$I$2:$I$501,transactions!$C$2:$C$501,AG$1,transactions!$B$2:$B$501,"&lt;="&amp;$A52))</f>
        <v/>
      </c>
      <c r="AH52" s="17" t="str">
        <f aca="false">IF($A52="","",SUMIFS(transactions!$I$2:$I$501,transactions!$C$2:$C$501,AH$1,transactions!$B$2:$B$501,"&lt;="&amp;$A52))</f>
        <v/>
      </c>
      <c r="AI52" s="17" t="str">
        <f aca="false">IF($A52="","",SUMIFS(transactions!$I$2:$I$501,transactions!$C$2:$C$501,AI$1,transactions!$B$2:$B$501,"&lt;="&amp;$A52))</f>
        <v/>
      </c>
      <c r="AJ52" s="17" t="str">
        <f aca="false">IF($A52="","",SUMIFS(transactions!$I$2:$I$501,transactions!$C$2:$C$501,AJ$1,transactions!$B$2:$B$501,"&lt;="&amp;$A52))</f>
        <v/>
      </c>
    </row>
    <row r="53" customFormat="false" ht="15" hidden="false" customHeight="false" outlineLevel="0" collapsed="false">
      <c r="A53" s="20" t="str">
        <f aca="false">IF(prices!A53="","",prices!A53)</f>
        <v/>
      </c>
      <c r="B53" s="17" t="str">
        <f aca="false">IF($A53="","",SUMIFS(transactions!$I$2:$I$501,transactions!$C$2:$C$501,B$1,transactions!$B$2:$B$501,"&lt;="&amp;$A53))</f>
        <v/>
      </c>
      <c r="C53" s="17" t="str">
        <f aca="false">IF($A53="","",SUMIFS(transactions!$I$2:$I$501,transactions!$C$2:$C$501,C$1,transactions!$B$2:$B$501,"&lt;="&amp;$A53))</f>
        <v/>
      </c>
      <c r="D53" s="17" t="str">
        <f aca="false">IF($A53="","",SUMIFS(transactions!$I$2:$I$501,transactions!$C$2:$C$501,D$1,transactions!$B$2:$B$501,"&lt;="&amp;$A53))</f>
        <v/>
      </c>
      <c r="E53" s="17" t="str">
        <f aca="false">IF($A53="","",SUMIFS(transactions!$I$2:$I$501,transactions!$C$2:$C$501,E$1,transactions!$B$2:$B$501,"&lt;="&amp;$A53))</f>
        <v/>
      </c>
      <c r="F53" s="17" t="str">
        <f aca="false">IF($A53="","",SUMIFS(transactions!$I$2:$I$501,transactions!$C$2:$C$501,F$1,transactions!$B$2:$B$501,"&lt;="&amp;$A53))</f>
        <v/>
      </c>
      <c r="G53" s="17" t="str">
        <f aca="false">IF($A53="","",SUMIFS(transactions!$I$2:$I$501,transactions!$C$2:$C$501,G$1,transactions!$B$2:$B$501,"&lt;="&amp;$A53))</f>
        <v/>
      </c>
      <c r="H53" s="17" t="str">
        <f aca="false">IF($A53="","",SUMIFS(transactions!$I$2:$I$501,transactions!$C$2:$C$501,H$1,transactions!$B$2:$B$501,"&lt;="&amp;$A53))</f>
        <v/>
      </c>
      <c r="I53" s="17" t="str">
        <f aca="false">IF($A53="","",SUMIFS(transactions!$I$2:$I$501,transactions!$C$2:$C$501,I$1,transactions!$B$2:$B$501,"&lt;="&amp;$A53))</f>
        <v/>
      </c>
      <c r="J53" s="17" t="str">
        <f aca="false">IF($A53="","",SUMIFS(transactions!$I$2:$I$501,transactions!$C$2:$C$501,J$1,transactions!$B$2:$B$501,"&lt;="&amp;$A53))</f>
        <v/>
      </c>
      <c r="K53" s="17" t="str">
        <f aca="false">IF($A53="","",SUMIFS(transactions!$I$2:$I$501,transactions!$C$2:$C$501,K$1,transactions!$B$2:$B$501,"&lt;="&amp;$A53))</f>
        <v/>
      </c>
      <c r="L53" s="17" t="str">
        <f aca="false">IF($A53="","",SUMIFS(transactions!$I$2:$I$501,transactions!$C$2:$C$501,L$1,transactions!$B$2:$B$501,"&lt;="&amp;$A53))</f>
        <v/>
      </c>
      <c r="M53" s="17" t="str">
        <f aca="false">IF($A53="","",SUMIFS(transactions!$I$2:$I$501,transactions!$C$2:$C$501,M$1,transactions!$B$2:$B$501,"&lt;="&amp;$A53))</f>
        <v/>
      </c>
      <c r="N53" s="17" t="str">
        <f aca="false">IF($A53="","",SUMIFS(transactions!$I$2:$I$501,transactions!$C$2:$C$501,N$1,transactions!$B$2:$B$501,"&lt;="&amp;$A53))</f>
        <v/>
      </c>
      <c r="O53" s="17" t="str">
        <f aca="false">IF($A53="","",SUMIFS(transactions!$I$2:$I$501,transactions!$C$2:$C$501,O$1,transactions!$B$2:$B$501,"&lt;="&amp;$A53))</f>
        <v/>
      </c>
      <c r="P53" s="17" t="str">
        <f aca="false">IF($A53="","",SUMIFS(transactions!$I$2:$I$501,transactions!$C$2:$C$501,P$1,transactions!$B$2:$B$501,"&lt;="&amp;$A53))</f>
        <v/>
      </c>
      <c r="Q53" s="17" t="str">
        <f aca="false">IF($A53="","",SUMIFS(transactions!$I$2:$I$501,transactions!$C$2:$C$501,Q$1,transactions!$B$2:$B$501,"&lt;="&amp;$A53))</f>
        <v/>
      </c>
      <c r="R53" s="17" t="str">
        <f aca="false">IF($A53="","",SUMIFS(transactions!$I$2:$I$501,transactions!$C$2:$C$501,R$1,transactions!$B$2:$B$501,"&lt;="&amp;$A53))</f>
        <v/>
      </c>
      <c r="S53" s="17" t="str">
        <f aca="false">IF($A53="","",SUMIFS(transactions!$I$2:$I$501,transactions!$C$2:$C$501,S$1,transactions!$B$2:$B$501,"&lt;="&amp;$A53))</f>
        <v/>
      </c>
      <c r="T53" s="17" t="str">
        <f aca="false">IF($A53="","",SUMIFS(transactions!$I$2:$I$501,transactions!$C$2:$C$501,T$1,transactions!$B$2:$B$501,"&lt;="&amp;$A53))</f>
        <v/>
      </c>
      <c r="U53" s="17" t="str">
        <f aca="false">IF($A53="","",SUMIFS(transactions!$I$2:$I$501,transactions!$C$2:$C$501,U$1,transactions!$B$2:$B$501,"&lt;="&amp;$A53))</f>
        <v/>
      </c>
      <c r="V53" s="17" t="str">
        <f aca="false">IF($A53="","",SUMIFS(transactions!$I$2:$I$501,transactions!$C$2:$C$501,V$1,transactions!$B$2:$B$501,"&lt;="&amp;$A53))</f>
        <v/>
      </c>
      <c r="W53" s="17" t="str">
        <f aca="false">IF($A53="","",SUMIFS(transactions!$I$2:$I$501,transactions!$C$2:$C$501,W$1,transactions!$B$2:$B$501,"&lt;="&amp;$A53))</f>
        <v/>
      </c>
      <c r="X53" s="17" t="str">
        <f aca="false">IF($A53="","",SUMIFS(transactions!$I$2:$I$501,transactions!$C$2:$C$501,X$1,transactions!$B$2:$B$501,"&lt;="&amp;$A53))</f>
        <v/>
      </c>
      <c r="Y53" s="17" t="str">
        <f aca="false">IF($A53="","",SUMIFS(transactions!$I$2:$I$501,transactions!$C$2:$C$501,Y$1,transactions!$B$2:$B$501,"&lt;="&amp;$A53))</f>
        <v/>
      </c>
      <c r="Z53" s="17" t="str">
        <f aca="false">IF($A53="","",SUMIFS(transactions!$I$2:$I$501,transactions!$C$2:$C$501,Z$1,transactions!$B$2:$B$501,"&lt;="&amp;$A53))</f>
        <v/>
      </c>
      <c r="AA53" s="17" t="str">
        <f aca="false">IF($A53="","",SUMIFS(transactions!$I$2:$I$501,transactions!$C$2:$C$501,AA$1,transactions!$B$2:$B$501,"&lt;="&amp;$A53))</f>
        <v/>
      </c>
      <c r="AB53" s="17" t="str">
        <f aca="false">IF($A53="","",SUMIFS(transactions!$I$2:$I$501,transactions!$C$2:$C$501,AB$1,transactions!$B$2:$B$501,"&lt;="&amp;$A53))</f>
        <v/>
      </c>
      <c r="AC53" s="17" t="str">
        <f aca="false">IF($A53="","",SUMIFS(transactions!$I$2:$I$501,transactions!$C$2:$C$501,AC$1,transactions!$B$2:$B$501,"&lt;="&amp;$A53))</f>
        <v/>
      </c>
      <c r="AD53" s="17" t="str">
        <f aca="false">IF($A53="","",SUMIFS(transactions!$I$2:$I$501,transactions!$C$2:$C$501,AD$1,transactions!$B$2:$B$501,"&lt;="&amp;$A53))</f>
        <v/>
      </c>
      <c r="AE53" s="17" t="str">
        <f aca="false">IF($A53="","",SUMIFS(transactions!$I$2:$I$501,transactions!$C$2:$C$501,AE$1,transactions!$B$2:$B$501,"&lt;="&amp;$A53))</f>
        <v/>
      </c>
      <c r="AF53" s="17" t="str">
        <f aca="false">IF($A53="","",SUMIFS(transactions!$I$2:$I$501,transactions!$C$2:$C$501,AF$1,transactions!$B$2:$B$501,"&lt;="&amp;$A53))</f>
        <v/>
      </c>
      <c r="AG53" s="17" t="str">
        <f aca="false">IF($A53="","",SUMIFS(transactions!$I$2:$I$501,transactions!$C$2:$C$501,AG$1,transactions!$B$2:$B$501,"&lt;="&amp;$A53))</f>
        <v/>
      </c>
      <c r="AH53" s="17" t="str">
        <f aca="false">IF($A53="","",SUMIFS(transactions!$I$2:$I$501,transactions!$C$2:$C$501,AH$1,transactions!$B$2:$B$501,"&lt;="&amp;$A53))</f>
        <v/>
      </c>
      <c r="AI53" s="17" t="str">
        <f aca="false">IF($A53="","",SUMIFS(transactions!$I$2:$I$501,transactions!$C$2:$C$501,AI$1,transactions!$B$2:$B$501,"&lt;="&amp;$A53))</f>
        <v/>
      </c>
      <c r="AJ53" s="17" t="str">
        <f aca="false">IF($A53="","",SUMIFS(transactions!$I$2:$I$501,transactions!$C$2:$C$501,AJ$1,transactions!$B$2:$B$501,"&lt;="&amp;$A53))</f>
        <v/>
      </c>
    </row>
    <row r="54" customFormat="false" ht="15" hidden="false" customHeight="false" outlineLevel="0" collapsed="false">
      <c r="A54" s="20" t="str">
        <f aca="false">IF(prices!A54="","",prices!A54)</f>
        <v/>
      </c>
      <c r="B54" s="17" t="str">
        <f aca="false">IF($A54="","",SUMIFS(transactions!$I$2:$I$501,transactions!$C$2:$C$501,B$1,transactions!$B$2:$B$501,"&lt;="&amp;$A54))</f>
        <v/>
      </c>
      <c r="C54" s="17" t="str">
        <f aca="false">IF($A54="","",SUMIFS(transactions!$I$2:$I$501,transactions!$C$2:$C$501,C$1,transactions!$B$2:$B$501,"&lt;="&amp;$A54))</f>
        <v/>
      </c>
      <c r="D54" s="17" t="str">
        <f aca="false">IF($A54="","",SUMIFS(transactions!$I$2:$I$501,transactions!$C$2:$C$501,D$1,transactions!$B$2:$B$501,"&lt;="&amp;$A54))</f>
        <v/>
      </c>
      <c r="E54" s="17" t="str">
        <f aca="false">IF($A54="","",SUMIFS(transactions!$I$2:$I$501,transactions!$C$2:$C$501,E$1,transactions!$B$2:$B$501,"&lt;="&amp;$A54))</f>
        <v/>
      </c>
      <c r="F54" s="17" t="str">
        <f aca="false">IF($A54="","",SUMIFS(transactions!$I$2:$I$501,transactions!$C$2:$C$501,F$1,transactions!$B$2:$B$501,"&lt;="&amp;$A54))</f>
        <v/>
      </c>
      <c r="G54" s="17" t="str">
        <f aca="false">IF($A54="","",SUMIFS(transactions!$I$2:$I$501,transactions!$C$2:$C$501,G$1,transactions!$B$2:$B$501,"&lt;="&amp;$A54))</f>
        <v/>
      </c>
      <c r="H54" s="17" t="str">
        <f aca="false">IF($A54="","",SUMIFS(transactions!$I$2:$I$501,transactions!$C$2:$C$501,H$1,transactions!$B$2:$B$501,"&lt;="&amp;$A54))</f>
        <v/>
      </c>
      <c r="I54" s="17" t="str">
        <f aca="false">IF($A54="","",SUMIFS(transactions!$I$2:$I$501,transactions!$C$2:$C$501,I$1,transactions!$B$2:$B$501,"&lt;="&amp;$A54))</f>
        <v/>
      </c>
      <c r="J54" s="17" t="str">
        <f aca="false">IF($A54="","",SUMIFS(transactions!$I$2:$I$501,transactions!$C$2:$C$501,J$1,transactions!$B$2:$B$501,"&lt;="&amp;$A54))</f>
        <v/>
      </c>
      <c r="K54" s="17" t="str">
        <f aca="false">IF($A54="","",SUMIFS(transactions!$I$2:$I$501,transactions!$C$2:$C$501,K$1,transactions!$B$2:$B$501,"&lt;="&amp;$A54))</f>
        <v/>
      </c>
      <c r="L54" s="17" t="str">
        <f aca="false">IF($A54="","",SUMIFS(transactions!$I$2:$I$501,transactions!$C$2:$C$501,L$1,transactions!$B$2:$B$501,"&lt;="&amp;$A54))</f>
        <v/>
      </c>
      <c r="M54" s="17" t="str">
        <f aca="false">IF($A54="","",SUMIFS(transactions!$I$2:$I$501,transactions!$C$2:$C$501,M$1,transactions!$B$2:$B$501,"&lt;="&amp;$A54))</f>
        <v/>
      </c>
      <c r="N54" s="17" t="str">
        <f aca="false">IF($A54="","",SUMIFS(transactions!$I$2:$I$501,transactions!$C$2:$C$501,N$1,transactions!$B$2:$B$501,"&lt;="&amp;$A54))</f>
        <v/>
      </c>
      <c r="O54" s="17" t="str">
        <f aca="false">IF($A54="","",SUMIFS(transactions!$I$2:$I$501,transactions!$C$2:$C$501,O$1,transactions!$B$2:$B$501,"&lt;="&amp;$A54))</f>
        <v/>
      </c>
      <c r="P54" s="17" t="str">
        <f aca="false">IF($A54="","",SUMIFS(transactions!$I$2:$I$501,transactions!$C$2:$C$501,P$1,transactions!$B$2:$B$501,"&lt;="&amp;$A54))</f>
        <v/>
      </c>
      <c r="Q54" s="17" t="str">
        <f aca="false">IF($A54="","",SUMIFS(transactions!$I$2:$I$501,transactions!$C$2:$C$501,Q$1,transactions!$B$2:$B$501,"&lt;="&amp;$A54))</f>
        <v/>
      </c>
      <c r="R54" s="17" t="str">
        <f aca="false">IF($A54="","",SUMIFS(transactions!$I$2:$I$501,transactions!$C$2:$C$501,R$1,transactions!$B$2:$B$501,"&lt;="&amp;$A54))</f>
        <v/>
      </c>
      <c r="S54" s="17" t="str">
        <f aca="false">IF($A54="","",SUMIFS(transactions!$I$2:$I$501,transactions!$C$2:$C$501,S$1,transactions!$B$2:$B$501,"&lt;="&amp;$A54))</f>
        <v/>
      </c>
      <c r="T54" s="17" t="str">
        <f aca="false">IF($A54="","",SUMIFS(transactions!$I$2:$I$501,transactions!$C$2:$C$501,T$1,transactions!$B$2:$B$501,"&lt;="&amp;$A54))</f>
        <v/>
      </c>
      <c r="U54" s="17" t="str">
        <f aca="false">IF($A54="","",SUMIFS(transactions!$I$2:$I$501,transactions!$C$2:$C$501,U$1,transactions!$B$2:$B$501,"&lt;="&amp;$A54))</f>
        <v/>
      </c>
      <c r="V54" s="17" t="str">
        <f aca="false">IF($A54="","",SUMIFS(transactions!$I$2:$I$501,transactions!$C$2:$C$501,V$1,transactions!$B$2:$B$501,"&lt;="&amp;$A54))</f>
        <v/>
      </c>
      <c r="W54" s="17" t="str">
        <f aca="false">IF($A54="","",SUMIFS(transactions!$I$2:$I$501,transactions!$C$2:$C$501,W$1,transactions!$B$2:$B$501,"&lt;="&amp;$A54))</f>
        <v/>
      </c>
      <c r="X54" s="17" t="str">
        <f aca="false">IF($A54="","",SUMIFS(transactions!$I$2:$I$501,transactions!$C$2:$C$501,X$1,transactions!$B$2:$B$501,"&lt;="&amp;$A54))</f>
        <v/>
      </c>
      <c r="Y54" s="17" t="str">
        <f aca="false">IF($A54="","",SUMIFS(transactions!$I$2:$I$501,transactions!$C$2:$C$501,Y$1,transactions!$B$2:$B$501,"&lt;="&amp;$A54))</f>
        <v/>
      </c>
      <c r="Z54" s="17" t="str">
        <f aca="false">IF($A54="","",SUMIFS(transactions!$I$2:$I$501,transactions!$C$2:$C$501,Z$1,transactions!$B$2:$B$501,"&lt;="&amp;$A54))</f>
        <v/>
      </c>
      <c r="AA54" s="17" t="str">
        <f aca="false">IF($A54="","",SUMIFS(transactions!$I$2:$I$501,transactions!$C$2:$C$501,AA$1,transactions!$B$2:$B$501,"&lt;="&amp;$A54))</f>
        <v/>
      </c>
      <c r="AB54" s="17" t="str">
        <f aca="false">IF($A54="","",SUMIFS(transactions!$I$2:$I$501,transactions!$C$2:$C$501,AB$1,transactions!$B$2:$B$501,"&lt;="&amp;$A54))</f>
        <v/>
      </c>
      <c r="AC54" s="17" t="str">
        <f aca="false">IF($A54="","",SUMIFS(transactions!$I$2:$I$501,transactions!$C$2:$C$501,AC$1,transactions!$B$2:$B$501,"&lt;="&amp;$A54))</f>
        <v/>
      </c>
      <c r="AD54" s="17" t="str">
        <f aca="false">IF($A54="","",SUMIFS(transactions!$I$2:$I$501,transactions!$C$2:$C$501,AD$1,transactions!$B$2:$B$501,"&lt;="&amp;$A54))</f>
        <v/>
      </c>
      <c r="AE54" s="17" t="str">
        <f aca="false">IF($A54="","",SUMIFS(transactions!$I$2:$I$501,transactions!$C$2:$C$501,AE$1,transactions!$B$2:$B$501,"&lt;="&amp;$A54))</f>
        <v/>
      </c>
      <c r="AF54" s="17" t="str">
        <f aca="false">IF($A54="","",SUMIFS(transactions!$I$2:$I$501,transactions!$C$2:$C$501,AF$1,transactions!$B$2:$B$501,"&lt;="&amp;$A54))</f>
        <v/>
      </c>
      <c r="AG54" s="17" t="str">
        <f aca="false">IF($A54="","",SUMIFS(transactions!$I$2:$I$501,transactions!$C$2:$C$501,AG$1,transactions!$B$2:$B$501,"&lt;="&amp;$A54))</f>
        <v/>
      </c>
      <c r="AH54" s="17" t="str">
        <f aca="false">IF($A54="","",SUMIFS(transactions!$I$2:$I$501,transactions!$C$2:$C$501,AH$1,transactions!$B$2:$B$501,"&lt;="&amp;$A54))</f>
        <v/>
      </c>
      <c r="AI54" s="17" t="str">
        <f aca="false">IF($A54="","",SUMIFS(transactions!$I$2:$I$501,transactions!$C$2:$C$501,AI$1,transactions!$B$2:$B$501,"&lt;="&amp;$A54))</f>
        <v/>
      </c>
      <c r="AJ54" s="17" t="str">
        <f aca="false">IF($A54="","",SUMIFS(transactions!$I$2:$I$501,transactions!$C$2:$C$501,AJ$1,transactions!$B$2:$B$501,"&lt;="&amp;$A54))</f>
        <v/>
      </c>
    </row>
    <row r="55" customFormat="false" ht="15" hidden="false" customHeight="false" outlineLevel="0" collapsed="false">
      <c r="A55" s="20" t="str">
        <f aca="false">IF(prices!A55="","",prices!A55)</f>
        <v/>
      </c>
      <c r="B55" s="17" t="str">
        <f aca="false">IF($A55="","",SUMIFS(transactions!$I$2:$I$501,transactions!$C$2:$C$501,B$1,transactions!$B$2:$B$501,"&lt;="&amp;$A55))</f>
        <v/>
      </c>
      <c r="C55" s="17" t="str">
        <f aca="false">IF($A55="","",SUMIFS(transactions!$I$2:$I$501,transactions!$C$2:$C$501,C$1,transactions!$B$2:$B$501,"&lt;="&amp;$A55))</f>
        <v/>
      </c>
      <c r="D55" s="17" t="str">
        <f aca="false">IF($A55="","",SUMIFS(transactions!$I$2:$I$501,transactions!$C$2:$C$501,D$1,transactions!$B$2:$B$501,"&lt;="&amp;$A55))</f>
        <v/>
      </c>
      <c r="E55" s="17" t="str">
        <f aca="false">IF($A55="","",SUMIFS(transactions!$I$2:$I$501,transactions!$C$2:$C$501,E$1,transactions!$B$2:$B$501,"&lt;="&amp;$A55))</f>
        <v/>
      </c>
      <c r="F55" s="17" t="str">
        <f aca="false">IF($A55="","",SUMIFS(transactions!$I$2:$I$501,transactions!$C$2:$C$501,F$1,transactions!$B$2:$B$501,"&lt;="&amp;$A55))</f>
        <v/>
      </c>
      <c r="G55" s="17" t="str">
        <f aca="false">IF($A55="","",SUMIFS(transactions!$I$2:$I$501,transactions!$C$2:$C$501,G$1,transactions!$B$2:$B$501,"&lt;="&amp;$A55))</f>
        <v/>
      </c>
      <c r="H55" s="17" t="str">
        <f aca="false">IF($A55="","",SUMIFS(transactions!$I$2:$I$501,transactions!$C$2:$C$501,H$1,transactions!$B$2:$B$501,"&lt;="&amp;$A55))</f>
        <v/>
      </c>
      <c r="I55" s="17" t="str">
        <f aca="false">IF($A55="","",SUMIFS(transactions!$I$2:$I$501,transactions!$C$2:$C$501,I$1,transactions!$B$2:$B$501,"&lt;="&amp;$A55))</f>
        <v/>
      </c>
      <c r="J55" s="17" t="str">
        <f aca="false">IF($A55="","",SUMIFS(transactions!$I$2:$I$501,transactions!$C$2:$C$501,J$1,transactions!$B$2:$B$501,"&lt;="&amp;$A55))</f>
        <v/>
      </c>
      <c r="K55" s="17" t="str">
        <f aca="false">IF($A55="","",SUMIFS(transactions!$I$2:$I$501,transactions!$C$2:$C$501,K$1,transactions!$B$2:$B$501,"&lt;="&amp;$A55))</f>
        <v/>
      </c>
      <c r="L55" s="17" t="str">
        <f aca="false">IF($A55="","",SUMIFS(transactions!$I$2:$I$501,transactions!$C$2:$C$501,L$1,transactions!$B$2:$B$501,"&lt;="&amp;$A55))</f>
        <v/>
      </c>
      <c r="M55" s="17" t="str">
        <f aca="false">IF($A55="","",SUMIFS(transactions!$I$2:$I$501,transactions!$C$2:$C$501,M$1,transactions!$B$2:$B$501,"&lt;="&amp;$A55))</f>
        <v/>
      </c>
      <c r="N55" s="17" t="str">
        <f aca="false">IF($A55="","",SUMIFS(transactions!$I$2:$I$501,transactions!$C$2:$C$501,N$1,transactions!$B$2:$B$501,"&lt;="&amp;$A55))</f>
        <v/>
      </c>
      <c r="O55" s="17" t="str">
        <f aca="false">IF($A55="","",SUMIFS(transactions!$I$2:$I$501,transactions!$C$2:$C$501,O$1,transactions!$B$2:$B$501,"&lt;="&amp;$A55))</f>
        <v/>
      </c>
      <c r="P55" s="17" t="str">
        <f aca="false">IF($A55="","",SUMIFS(transactions!$I$2:$I$501,transactions!$C$2:$C$501,P$1,transactions!$B$2:$B$501,"&lt;="&amp;$A55))</f>
        <v/>
      </c>
      <c r="Q55" s="17" t="str">
        <f aca="false">IF($A55="","",SUMIFS(transactions!$I$2:$I$501,transactions!$C$2:$C$501,Q$1,transactions!$B$2:$B$501,"&lt;="&amp;$A55))</f>
        <v/>
      </c>
      <c r="R55" s="17" t="str">
        <f aca="false">IF($A55="","",SUMIFS(transactions!$I$2:$I$501,transactions!$C$2:$C$501,R$1,transactions!$B$2:$B$501,"&lt;="&amp;$A55))</f>
        <v/>
      </c>
      <c r="S55" s="17" t="str">
        <f aca="false">IF($A55="","",SUMIFS(transactions!$I$2:$I$501,transactions!$C$2:$C$501,S$1,transactions!$B$2:$B$501,"&lt;="&amp;$A55))</f>
        <v/>
      </c>
      <c r="T55" s="17" t="str">
        <f aca="false">IF($A55="","",SUMIFS(transactions!$I$2:$I$501,transactions!$C$2:$C$501,T$1,transactions!$B$2:$B$501,"&lt;="&amp;$A55))</f>
        <v/>
      </c>
      <c r="U55" s="17" t="str">
        <f aca="false">IF($A55="","",SUMIFS(transactions!$I$2:$I$501,transactions!$C$2:$C$501,U$1,transactions!$B$2:$B$501,"&lt;="&amp;$A55))</f>
        <v/>
      </c>
      <c r="V55" s="17" t="str">
        <f aca="false">IF($A55="","",SUMIFS(transactions!$I$2:$I$501,transactions!$C$2:$C$501,V$1,transactions!$B$2:$B$501,"&lt;="&amp;$A55))</f>
        <v/>
      </c>
      <c r="W55" s="17" t="str">
        <f aca="false">IF($A55="","",SUMIFS(transactions!$I$2:$I$501,transactions!$C$2:$C$501,W$1,transactions!$B$2:$B$501,"&lt;="&amp;$A55))</f>
        <v/>
      </c>
      <c r="X55" s="17" t="str">
        <f aca="false">IF($A55="","",SUMIFS(transactions!$I$2:$I$501,transactions!$C$2:$C$501,X$1,transactions!$B$2:$B$501,"&lt;="&amp;$A55))</f>
        <v/>
      </c>
      <c r="Y55" s="17" t="str">
        <f aca="false">IF($A55="","",SUMIFS(transactions!$I$2:$I$501,transactions!$C$2:$C$501,Y$1,transactions!$B$2:$B$501,"&lt;="&amp;$A55))</f>
        <v/>
      </c>
      <c r="Z55" s="17" t="str">
        <f aca="false">IF($A55="","",SUMIFS(transactions!$I$2:$I$501,transactions!$C$2:$C$501,Z$1,transactions!$B$2:$B$501,"&lt;="&amp;$A55))</f>
        <v/>
      </c>
      <c r="AA55" s="17" t="str">
        <f aca="false">IF($A55="","",SUMIFS(transactions!$I$2:$I$501,transactions!$C$2:$C$501,AA$1,transactions!$B$2:$B$501,"&lt;="&amp;$A55))</f>
        <v/>
      </c>
      <c r="AB55" s="17" t="str">
        <f aca="false">IF($A55="","",SUMIFS(transactions!$I$2:$I$501,transactions!$C$2:$C$501,AB$1,transactions!$B$2:$B$501,"&lt;="&amp;$A55))</f>
        <v/>
      </c>
      <c r="AC55" s="17" t="str">
        <f aca="false">IF($A55="","",SUMIFS(transactions!$I$2:$I$501,transactions!$C$2:$C$501,AC$1,transactions!$B$2:$B$501,"&lt;="&amp;$A55))</f>
        <v/>
      </c>
      <c r="AD55" s="17" t="str">
        <f aca="false">IF($A55="","",SUMIFS(transactions!$I$2:$I$501,transactions!$C$2:$C$501,AD$1,transactions!$B$2:$B$501,"&lt;="&amp;$A55))</f>
        <v/>
      </c>
      <c r="AE55" s="17" t="str">
        <f aca="false">IF($A55="","",SUMIFS(transactions!$I$2:$I$501,transactions!$C$2:$C$501,AE$1,transactions!$B$2:$B$501,"&lt;="&amp;$A55))</f>
        <v/>
      </c>
      <c r="AF55" s="17" t="str">
        <f aca="false">IF($A55="","",SUMIFS(transactions!$I$2:$I$501,transactions!$C$2:$C$501,AF$1,transactions!$B$2:$B$501,"&lt;="&amp;$A55))</f>
        <v/>
      </c>
      <c r="AG55" s="17" t="str">
        <f aca="false">IF($A55="","",SUMIFS(transactions!$I$2:$I$501,transactions!$C$2:$C$501,AG$1,transactions!$B$2:$B$501,"&lt;="&amp;$A55))</f>
        <v/>
      </c>
      <c r="AH55" s="17" t="str">
        <f aca="false">IF($A55="","",SUMIFS(transactions!$I$2:$I$501,transactions!$C$2:$C$501,AH$1,transactions!$B$2:$B$501,"&lt;="&amp;$A55))</f>
        <v/>
      </c>
      <c r="AI55" s="17" t="str">
        <f aca="false">IF($A55="","",SUMIFS(transactions!$I$2:$I$501,transactions!$C$2:$C$501,AI$1,transactions!$B$2:$B$501,"&lt;="&amp;$A55))</f>
        <v/>
      </c>
      <c r="AJ55" s="17" t="str">
        <f aca="false">IF($A55="","",SUMIFS(transactions!$I$2:$I$501,transactions!$C$2:$C$501,AJ$1,transactions!$B$2:$B$501,"&lt;="&amp;$A55))</f>
        <v/>
      </c>
    </row>
    <row r="56" customFormat="false" ht="15" hidden="false" customHeight="false" outlineLevel="0" collapsed="false">
      <c r="A56" s="20" t="str">
        <f aca="false">IF(prices!A56="","",prices!A56)</f>
        <v/>
      </c>
      <c r="B56" s="17" t="str">
        <f aca="false">IF($A56="","",SUMIFS(transactions!$I$2:$I$501,transactions!$C$2:$C$501,B$1,transactions!$B$2:$B$501,"&lt;="&amp;$A56))</f>
        <v/>
      </c>
      <c r="C56" s="17" t="str">
        <f aca="false">IF($A56="","",SUMIFS(transactions!$I$2:$I$501,transactions!$C$2:$C$501,C$1,transactions!$B$2:$B$501,"&lt;="&amp;$A56))</f>
        <v/>
      </c>
      <c r="D56" s="17" t="str">
        <f aca="false">IF($A56="","",SUMIFS(transactions!$I$2:$I$501,transactions!$C$2:$C$501,D$1,transactions!$B$2:$B$501,"&lt;="&amp;$A56))</f>
        <v/>
      </c>
      <c r="E56" s="17" t="str">
        <f aca="false">IF($A56="","",SUMIFS(transactions!$I$2:$I$501,transactions!$C$2:$C$501,E$1,transactions!$B$2:$B$501,"&lt;="&amp;$A56))</f>
        <v/>
      </c>
      <c r="F56" s="17" t="str">
        <f aca="false">IF($A56="","",SUMIFS(transactions!$I$2:$I$501,transactions!$C$2:$C$501,F$1,transactions!$B$2:$B$501,"&lt;="&amp;$A56))</f>
        <v/>
      </c>
      <c r="G56" s="17" t="str">
        <f aca="false">IF($A56="","",SUMIFS(transactions!$I$2:$I$501,transactions!$C$2:$C$501,G$1,transactions!$B$2:$B$501,"&lt;="&amp;$A56))</f>
        <v/>
      </c>
      <c r="H56" s="17" t="str">
        <f aca="false">IF($A56="","",SUMIFS(transactions!$I$2:$I$501,transactions!$C$2:$C$501,H$1,transactions!$B$2:$B$501,"&lt;="&amp;$A56))</f>
        <v/>
      </c>
      <c r="I56" s="17" t="str">
        <f aca="false">IF($A56="","",SUMIFS(transactions!$I$2:$I$501,transactions!$C$2:$C$501,I$1,transactions!$B$2:$B$501,"&lt;="&amp;$A56))</f>
        <v/>
      </c>
      <c r="J56" s="17" t="str">
        <f aca="false">IF($A56="","",SUMIFS(transactions!$I$2:$I$501,transactions!$C$2:$C$501,J$1,transactions!$B$2:$B$501,"&lt;="&amp;$A56))</f>
        <v/>
      </c>
      <c r="K56" s="17" t="str">
        <f aca="false">IF($A56="","",SUMIFS(transactions!$I$2:$I$501,transactions!$C$2:$C$501,K$1,transactions!$B$2:$B$501,"&lt;="&amp;$A56))</f>
        <v/>
      </c>
      <c r="L56" s="17" t="str">
        <f aca="false">IF($A56="","",SUMIFS(transactions!$I$2:$I$501,transactions!$C$2:$C$501,L$1,transactions!$B$2:$B$501,"&lt;="&amp;$A56))</f>
        <v/>
      </c>
      <c r="M56" s="17" t="str">
        <f aca="false">IF($A56="","",SUMIFS(transactions!$I$2:$I$501,transactions!$C$2:$C$501,M$1,transactions!$B$2:$B$501,"&lt;="&amp;$A56))</f>
        <v/>
      </c>
      <c r="N56" s="17" t="str">
        <f aca="false">IF($A56="","",SUMIFS(transactions!$I$2:$I$501,transactions!$C$2:$C$501,N$1,transactions!$B$2:$B$501,"&lt;="&amp;$A56))</f>
        <v/>
      </c>
      <c r="O56" s="17" t="str">
        <f aca="false">IF($A56="","",SUMIFS(transactions!$I$2:$I$501,transactions!$C$2:$C$501,O$1,transactions!$B$2:$B$501,"&lt;="&amp;$A56))</f>
        <v/>
      </c>
      <c r="P56" s="17" t="str">
        <f aca="false">IF($A56="","",SUMIFS(transactions!$I$2:$I$501,transactions!$C$2:$C$501,P$1,transactions!$B$2:$B$501,"&lt;="&amp;$A56))</f>
        <v/>
      </c>
      <c r="Q56" s="17" t="str">
        <f aca="false">IF($A56="","",SUMIFS(transactions!$I$2:$I$501,transactions!$C$2:$C$501,Q$1,transactions!$B$2:$B$501,"&lt;="&amp;$A56))</f>
        <v/>
      </c>
      <c r="R56" s="17" t="str">
        <f aca="false">IF($A56="","",SUMIFS(transactions!$I$2:$I$501,transactions!$C$2:$C$501,R$1,transactions!$B$2:$B$501,"&lt;="&amp;$A56))</f>
        <v/>
      </c>
      <c r="S56" s="17" t="str">
        <f aca="false">IF($A56="","",SUMIFS(transactions!$I$2:$I$501,transactions!$C$2:$C$501,S$1,transactions!$B$2:$B$501,"&lt;="&amp;$A56))</f>
        <v/>
      </c>
      <c r="T56" s="17" t="str">
        <f aca="false">IF($A56="","",SUMIFS(transactions!$I$2:$I$501,transactions!$C$2:$C$501,T$1,transactions!$B$2:$B$501,"&lt;="&amp;$A56))</f>
        <v/>
      </c>
      <c r="U56" s="17" t="str">
        <f aca="false">IF($A56="","",SUMIFS(transactions!$I$2:$I$501,transactions!$C$2:$C$501,U$1,transactions!$B$2:$B$501,"&lt;="&amp;$A56))</f>
        <v/>
      </c>
      <c r="V56" s="17" t="str">
        <f aca="false">IF($A56="","",SUMIFS(transactions!$I$2:$I$501,transactions!$C$2:$C$501,V$1,transactions!$B$2:$B$501,"&lt;="&amp;$A56))</f>
        <v/>
      </c>
      <c r="W56" s="17" t="str">
        <f aca="false">IF($A56="","",SUMIFS(transactions!$I$2:$I$501,transactions!$C$2:$C$501,W$1,transactions!$B$2:$B$501,"&lt;="&amp;$A56))</f>
        <v/>
      </c>
      <c r="X56" s="17" t="str">
        <f aca="false">IF($A56="","",SUMIFS(transactions!$I$2:$I$501,transactions!$C$2:$C$501,X$1,transactions!$B$2:$B$501,"&lt;="&amp;$A56))</f>
        <v/>
      </c>
      <c r="Y56" s="17" t="str">
        <f aca="false">IF($A56="","",SUMIFS(transactions!$I$2:$I$501,transactions!$C$2:$C$501,Y$1,transactions!$B$2:$B$501,"&lt;="&amp;$A56))</f>
        <v/>
      </c>
      <c r="Z56" s="17" t="str">
        <f aca="false">IF($A56="","",SUMIFS(transactions!$I$2:$I$501,transactions!$C$2:$C$501,Z$1,transactions!$B$2:$B$501,"&lt;="&amp;$A56))</f>
        <v/>
      </c>
      <c r="AA56" s="17" t="str">
        <f aca="false">IF($A56="","",SUMIFS(transactions!$I$2:$I$501,transactions!$C$2:$C$501,AA$1,transactions!$B$2:$B$501,"&lt;="&amp;$A56))</f>
        <v/>
      </c>
      <c r="AB56" s="17" t="str">
        <f aca="false">IF($A56="","",SUMIFS(transactions!$I$2:$I$501,transactions!$C$2:$C$501,AB$1,transactions!$B$2:$B$501,"&lt;="&amp;$A56))</f>
        <v/>
      </c>
      <c r="AC56" s="17" t="str">
        <f aca="false">IF($A56="","",SUMIFS(transactions!$I$2:$I$501,transactions!$C$2:$C$501,AC$1,transactions!$B$2:$B$501,"&lt;="&amp;$A56))</f>
        <v/>
      </c>
      <c r="AD56" s="17" t="str">
        <f aca="false">IF($A56="","",SUMIFS(transactions!$I$2:$I$501,transactions!$C$2:$C$501,AD$1,transactions!$B$2:$B$501,"&lt;="&amp;$A56))</f>
        <v/>
      </c>
      <c r="AE56" s="17" t="str">
        <f aca="false">IF($A56="","",SUMIFS(transactions!$I$2:$I$501,transactions!$C$2:$C$501,AE$1,transactions!$B$2:$B$501,"&lt;="&amp;$A56))</f>
        <v/>
      </c>
      <c r="AF56" s="17" t="str">
        <f aca="false">IF($A56="","",SUMIFS(transactions!$I$2:$I$501,transactions!$C$2:$C$501,AF$1,transactions!$B$2:$B$501,"&lt;="&amp;$A56))</f>
        <v/>
      </c>
      <c r="AG56" s="17" t="str">
        <f aca="false">IF($A56="","",SUMIFS(transactions!$I$2:$I$501,transactions!$C$2:$C$501,AG$1,transactions!$B$2:$B$501,"&lt;="&amp;$A56))</f>
        <v/>
      </c>
      <c r="AH56" s="17" t="str">
        <f aca="false">IF($A56="","",SUMIFS(transactions!$I$2:$I$501,transactions!$C$2:$C$501,AH$1,transactions!$B$2:$B$501,"&lt;="&amp;$A56))</f>
        <v/>
      </c>
      <c r="AI56" s="17" t="str">
        <f aca="false">IF($A56="","",SUMIFS(transactions!$I$2:$I$501,transactions!$C$2:$C$501,AI$1,transactions!$B$2:$B$501,"&lt;="&amp;$A56))</f>
        <v/>
      </c>
      <c r="AJ56" s="17" t="str">
        <f aca="false">IF($A56="","",SUMIFS(transactions!$I$2:$I$501,transactions!$C$2:$C$501,AJ$1,transactions!$B$2:$B$501,"&lt;="&amp;$A56))</f>
        <v/>
      </c>
    </row>
    <row r="57" customFormat="false" ht="15" hidden="false" customHeight="false" outlineLevel="0" collapsed="false">
      <c r="A57" s="20" t="str">
        <f aca="false">IF(prices!A57="","",prices!A57)</f>
        <v/>
      </c>
      <c r="B57" s="17" t="str">
        <f aca="false">IF($A57="","",SUMIFS(transactions!$I$2:$I$501,transactions!$C$2:$C$501,B$1,transactions!$B$2:$B$501,"&lt;="&amp;$A57))</f>
        <v/>
      </c>
      <c r="C57" s="17" t="str">
        <f aca="false">IF($A57="","",SUMIFS(transactions!$I$2:$I$501,transactions!$C$2:$C$501,C$1,transactions!$B$2:$B$501,"&lt;="&amp;$A57))</f>
        <v/>
      </c>
      <c r="D57" s="17" t="str">
        <f aca="false">IF($A57="","",SUMIFS(transactions!$I$2:$I$501,transactions!$C$2:$C$501,D$1,transactions!$B$2:$B$501,"&lt;="&amp;$A57))</f>
        <v/>
      </c>
      <c r="E57" s="17" t="str">
        <f aca="false">IF($A57="","",SUMIFS(transactions!$I$2:$I$501,transactions!$C$2:$C$501,E$1,transactions!$B$2:$B$501,"&lt;="&amp;$A57))</f>
        <v/>
      </c>
      <c r="F57" s="17" t="str">
        <f aca="false">IF($A57="","",SUMIFS(transactions!$I$2:$I$501,transactions!$C$2:$C$501,F$1,transactions!$B$2:$B$501,"&lt;="&amp;$A57))</f>
        <v/>
      </c>
      <c r="G57" s="17" t="str">
        <f aca="false">IF($A57="","",SUMIFS(transactions!$I$2:$I$501,transactions!$C$2:$C$501,G$1,transactions!$B$2:$B$501,"&lt;="&amp;$A57))</f>
        <v/>
      </c>
      <c r="H57" s="17" t="str">
        <f aca="false">IF($A57="","",SUMIFS(transactions!$I$2:$I$501,transactions!$C$2:$C$501,H$1,transactions!$B$2:$B$501,"&lt;="&amp;$A57))</f>
        <v/>
      </c>
      <c r="I57" s="17" t="str">
        <f aca="false">IF($A57="","",SUMIFS(transactions!$I$2:$I$501,transactions!$C$2:$C$501,I$1,transactions!$B$2:$B$501,"&lt;="&amp;$A57))</f>
        <v/>
      </c>
      <c r="J57" s="17" t="str">
        <f aca="false">IF($A57="","",SUMIFS(transactions!$I$2:$I$501,transactions!$C$2:$C$501,J$1,transactions!$B$2:$B$501,"&lt;="&amp;$A57))</f>
        <v/>
      </c>
      <c r="K57" s="17" t="str">
        <f aca="false">IF($A57="","",SUMIFS(transactions!$I$2:$I$501,transactions!$C$2:$C$501,K$1,transactions!$B$2:$B$501,"&lt;="&amp;$A57))</f>
        <v/>
      </c>
      <c r="L57" s="17" t="str">
        <f aca="false">IF($A57="","",SUMIFS(transactions!$I$2:$I$501,transactions!$C$2:$C$501,L$1,transactions!$B$2:$B$501,"&lt;="&amp;$A57))</f>
        <v/>
      </c>
      <c r="M57" s="17" t="str">
        <f aca="false">IF($A57="","",SUMIFS(transactions!$I$2:$I$501,transactions!$C$2:$C$501,M$1,transactions!$B$2:$B$501,"&lt;="&amp;$A57))</f>
        <v/>
      </c>
      <c r="N57" s="17" t="str">
        <f aca="false">IF($A57="","",SUMIFS(transactions!$I$2:$I$501,transactions!$C$2:$C$501,N$1,transactions!$B$2:$B$501,"&lt;="&amp;$A57))</f>
        <v/>
      </c>
      <c r="O57" s="17" t="str">
        <f aca="false">IF($A57="","",SUMIFS(transactions!$I$2:$I$501,transactions!$C$2:$C$501,O$1,transactions!$B$2:$B$501,"&lt;="&amp;$A57))</f>
        <v/>
      </c>
      <c r="P57" s="17" t="str">
        <f aca="false">IF($A57="","",SUMIFS(transactions!$I$2:$I$501,transactions!$C$2:$C$501,P$1,transactions!$B$2:$B$501,"&lt;="&amp;$A57))</f>
        <v/>
      </c>
      <c r="Q57" s="17" t="str">
        <f aca="false">IF($A57="","",SUMIFS(transactions!$I$2:$I$501,transactions!$C$2:$C$501,Q$1,transactions!$B$2:$B$501,"&lt;="&amp;$A57))</f>
        <v/>
      </c>
      <c r="R57" s="17" t="str">
        <f aca="false">IF($A57="","",SUMIFS(transactions!$I$2:$I$501,transactions!$C$2:$C$501,R$1,transactions!$B$2:$B$501,"&lt;="&amp;$A57))</f>
        <v/>
      </c>
      <c r="S57" s="17" t="str">
        <f aca="false">IF($A57="","",SUMIFS(transactions!$I$2:$I$501,transactions!$C$2:$C$501,S$1,transactions!$B$2:$B$501,"&lt;="&amp;$A57))</f>
        <v/>
      </c>
      <c r="T57" s="17" t="str">
        <f aca="false">IF($A57="","",SUMIFS(transactions!$I$2:$I$501,transactions!$C$2:$C$501,T$1,transactions!$B$2:$B$501,"&lt;="&amp;$A57))</f>
        <v/>
      </c>
      <c r="U57" s="17" t="str">
        <f aca="false">IF($A57="","",SUMIFS(transactions!$I$2:$I$501,transactions!$C$2:$C$501,U$1,transactions!$B$2:$B$501,"&lt;="&amp;$A57))</f>
        <v/>
      </c>
      <c r="V57" s="17" t="str">
        <f aca="false">IF($A57="","",SUMIFS(transactions!$I$2:$I$501,transactions!$C$2:$C$501,V$1,transactions!$B$2:$B$501,"&lt;="&amp;$A57))</f>
        <v/>
      </c>
      <c r="W57" s="17" t="str">
        <f aca="false">IF($A57="","",SUMIFS(transactions!$I$2:$I$501,transactions!$C$2:$C$501,W$1,transactions!$B$2:$B$501,"&lt;="&amp;$A57))</f>
        <v/>
      </c>
      <c r="X57" s="17" t="str">
        <f aca="false">IF($A57="","",SUMIFS(transactions!$I$2:$I$501,transactions!$C$2:$C$501,X$1,transactions!$B$2:$B$501,"&lt;="&amp;$A57))</f>
        <v/>
      </c>
      <c r="Y57" s="17" t="str">
        <f aca="false">IF($A57="","",SUMIFS(transactions!$I$2:$I$501,transactions!$C$2:$C$501,Y$1,transactions!$B$2:$B$501,"&lt;="&amp;$A57))</f>
        <v/>
      </c>
      <c r="Z57" s="17" t="str">
        <f aca="false">IF($A57="","",SUMIFS(transactions!$I$2:$I$501,transactions!$C$2:$C$501,Z$1,transactions!$B$2:$B$501,"&lt;="&amp;$A57))</f>
        <v/>
      </c>
      <c r="AA57" s="17" t="str">
        <f aca="false">IF($A57="","",SUMIFS(transactions!$I$2:$I$501,transactions!$C$2:$C$501,AA$1,transactions!$B$2:$B$501,"&lt;="&amp;$A57))</f>
        <v/>
      </c>
      <c r="AB57" s="17" t="str">
        <f aca="false">IF($A57="","",SUMIFS(transactions!$I$2:$I$501,transactions!$C$2:$C$501,AB$1,transactions!$B$2:$B$501,"&lt;="&amp;$A57))</f>
        <v/>
      </c>
      <c r="AC57" s="17" t="str">
        <f aca="false">IF($A57="","",SUMIFS(transactions!$I$2:$I$501,transactions!$C$2:$C$501,AC$1,transactions!$B$2:$B$501,"&lt;="&amp;$A57))</f>
        <v/>
      </c>
      <c r="AD57" s="17" t="str">
        <f aca="false">IF($A57="","",SUMIFS(transactions!$I$2:$I$501,transactions!$C$2:$C$501,AD$1,transactions!$B$2:$B$501,"&lt;="&amp;$A57))</f>
        <v/>
      </c>
      <c r="AE57" s="17" t="str">
        <f aca="false">IF($A57="","",SUMIFS(transactions!$I$2:$I$501,transactions!$C$2:$C$501,AE$1,transactions!$B$2:$B$501,"&lt;="&amp;$A57))</f>
        <v/>
      </c>
      <c r="AF57" s="17" t="str">
        <f aca="false">IF($A57="","",SUMIFS(transactions!$I$2:$I$501,transactions!$C$2:$C$501,AF$1,transactions!$B$2:$B$501,"&lt;="&amp;$A57))</f>
        <v/>
      </c>
      <c r="AG57" s="17" t="str">
        <f aca="false">IF($A57="","",SUMIFS(transactions!$I$2:$I$501,transactions!$C$2:$C$501,AG$1,transactions!$B$2:$B$501,"&lt;="&amp;$A57))</f>
        <v/>
      </c>
      <c r="AH57" s="17" t="str">
        <f aca="false">IF($A57="","",SUMIFS(transactions!$I$2:$I$501,transactions!$C$2:$C$501,AH$1,transactions!$B$2:$B$501,"&lt;="&amp;$A57))</f>
        <v/>
      </c>
      <c r="AI57" s="17" t="str">
        <f aca="false">IF($A57="","",SUMIFS(transactions!$I$2:$I$501,transactions!$C$2:$C$501,AI$1,transactions!$B$2:$B$501,"&lt;="&amp;$A57))</f>
        <v/>
      </c>
      <c r="AJ57" s="17" t="str">
        <f aca="false">IF($A57="","",SUMIFS(transactions!$I$2:$I$501,transactions!$C$2:$C$501,AJ$1,transactions!$B$2:$B$501,"&lt;="&amp;$A57))</f>
        <v/>
      </c>
    </row>
    <row r="58" customFormat="false" ht="15" hidden="false" customHeight="false" outlineLevel="0" collapsed="false">
      <c r="A58" s="20" t="str">
        <f aca="false">IF(prices!A58="","",prices!A58)</f>
        <v/>
      </c>
      <c r="B58" s="17" t="str">
        <f aca="false">IF($A58="","",SUMIFS(transactions!$I$2:$I$501,transactions!$C$2:$C$501,B$1,transactions!$B$2:$B$501,"&lt;="&amp;$A58))</f>
        <v/>
      </c>
      <c r="C58" s="17" t="str">
        <f aca="false">IF($A58="","",SUMIFS(transactions!$I$2:$I$501,transactions!$C$2:$C$501,C$1,transactions!$B$2:$B$501,"&lt;="&amp;$A58))</f>
        <v/>
      </c>
      <c r="D58" s="17" t="str">
        <f aca="false">IF($A58="","",SUMIFS(transactions!$I$2:$I$501,transactions!$C$2:$C$501,D$1,transactions!$B$2:$B$501,"&lt;="&amp;$A58))</f>
        <v/>
      </c>
      <c r="E58" s="17" t="str">
        <f aca="false">IF($A58="","",SUMIFS(transactions!$I$2:$I$501,transactions!$C$2:$C$501,E$1,transactions!$B$2:$B$501,"&lt;="&amp;$A58))</f>
        <v/>
      </c>
      <c r="F58" s="17" t="str">
        <f aca="false">IF($A58="","",SUMIFS(transactions!$I$2:$I$501,transactions!$C$2:$C$501,F$1,transactions!$B$2:$B$501,"&lt;="&amp;$A58))</f>
        <v/>
      </c>
      <c r="G58" s="17" t="str">
        <f aca="false">IF($A58="","",SUMIFS(transactions!$I$2:$I$501,transactions!$C$2:$C$501,G$1,transactions!$B$2:$B$501,"&lt;="&amp;$A58))</f>
        <v/>
      </c>
      <c r="H58" s="17" t="str">
        <f aca="false">IF($A58="","",SUMIFS(transactions!$I$2:$I$501,transactions!$C$2:$C$501,H$1,transactions!$B$2:$B$501,"&lt;="&amp;$A58))</f>
        <v/>
      </c>
      <c r="I58" s="17" t="str">
        <f aca="false">IF($A58="","",SUMIFS(transactions!$I$2:$I$501,transactions!$C$2:$C$501,I$1,transactions!$B$2:$B$501,"&lt;="&amp;$A58))</f>
        <v/>
      </c>
      <c r="J58" s="17" t="str">
        <f aca="false">IF($A58="","",SUMIFS(transactions!$I$2:$I$501,transactions!$C$2:$C$501,J$1,transactions!$B$2:$B$501,"&lt;="&amp;$A58))</f>
        <v/>
      </c>
      <c r="K58" s="17" t="str">
        <f aca="false">IF($A58="","",SUMIFS(transactions!$I$2:$I$501,transactions!$C$2:$C$501,K$1,transactions!$B$2:$B$501,"&lt;="&amp;$A58))</f>
        <v/>
      </c>
      <c r="L58" s="17" t="str">
        <f aca="false">IF($A58="","",SUMIFS(transactions!$I$2:$I$501,transactions!$C$2:$C$501,L$1,transactions!$B$2:$B$501,"&lt;="&amp;$A58))</f>
        <v/>
      </c>
      <c r="M58" s="17" t="str">
        <f aca="false">IF($A58="","",SUMIFS(transactions!$I$2:$I$501,transactions!$C$2:$C$501,M$1,transactions!$B$2:$B$501,"&lt;="&amp;$A58))</f>
        <v/>
      </c>
      <c r="N58" s="17" t="str">
        <f aca="false">IF($A58="","",SUMIFS(transactions!$I$2:$I$501,transactions!$C$2:$C$501,N$1,transactions!$B$2:$B$501,"&lt;="&amp;$A58))</f>
        <v/>
      </c>
      <c r="O58" s="17" t="str">
        <f aca="false">IF($A58="","",SUMIFS(transactions!$I$2:$I$501,transactions!$C$2:$C$501,O$1,transactions!$B$2:$B$501,"&lt;="&amp;$A58))</f>
        <v/>
      </c>
      <c r="P58" s="17" t="str">
        <f aca="false">IF($A58="","",SUMIFS(transactions!$I$2:$I$501,transactions!$C$2:$C$501,P$1,transactions!$B$2:$B$501,"&lt;="&amp;$A58))</f>
        <v/>
      </c>
      <c r="Q58" s="17" t="str">
        <f aca="false">IF($A58="","",SUMIFS(transactions!$I$2:$I$501,transactions!$C$2:$C$501,Q$1,transactions!$B$2:$B$501,"&lt;="&amp;$A58))</f>
        <v/>
      </c>
      <c r="R58" s="17" t="str">
        <f aca="false">IF($A58="","",SUMIFS(transactions!$I$2:$I$501,transactions!$C$2:$C$501,R$1,transactions!$B$2:$B$501,"&lt;="&amp;$A58))</f>
        <v/>
      </c>
      <c r="S58" s="17" t="str">
        <f aca="false">IF($A58="","",SUMIFS(transactions!$I$2:$I$501,transactions!$C$2:$C$501,S$1,transactions!$B$2:$B$501,"&lt;="&amp;$A58))</f>
        <v/>
      </c>
      <c r="T58" s="17" t="str">
        <f aca="false">IF($A58="","",SUMIFS(transactions!$I$2:$I$501,transactions!$C$2:$C$501,T$1,transactions!$B$2:$B$501,"&lt;="&amp;$A58))</f>
        <v/>
      </c>
      <c r="U58" s="17" t="str">
        <f aca="false">IF($A58="","",SUMIFS(transactions!$I$2:$I$501,transactions!$C$2:$C$501,U$1,transactions!$B$2:$B$501,"&lt;="&amp;$A58))</f>
        <v/>
      </c>
      <c r="V58" s="17" t="str">
        <f aca="false">IF($A58="","",SUMIFS(transactions!$I$2:$I$501,transactions!$C$2:$C$501,V$1,transactions!$B$2:$B$501,"&lt;="&amp;$A58))</f>
        <v/>
      </c>
      <c r="W58" s="17" t="str">
        <f aca="false">IF($A58="","",SUMIFS(transactions!$I$2:$I$501,transactions!$C$2:$C$501,W$1,transactions!$B$2:$B$501,"&lt;="&amp;$A58))</f>
        <v/>
      </c>
      <c r="X58" s="17" t="str">
        <f aca="false">IF($A58="","",SUMIFS(transactions!$I$2:$I$501,transactions!$C$2:$C$501,X$1,transactions!$B$2:$B$501,"&lt;="&amp;$A58))</f>
        <v/>
      </c>
      <c r="Y58" s="17" t="str">
        <f aca="false">IF($A58="","",SUMIFS(transactions!$I$2:$I$501,transactions!$C$2:$C$501,Y$1,transactions!$B$2:$B$501,"&lt;="&amp;$A58))</f>
        <v/>
      </c>
      <c r="Z58" s="17" t="str">
        <f aca="false">IF($A58="","",SUMIFS(transactions!$I$2:$I$501,transactions!$C$2:$C$501,Z$1,transactions!$B$2:$B$501,"&lt;="&amp;$A58))</f>
        <v/>
      </c>
      <c r="AA58" s="17" t="str">
        <f aca="false">IF($A58="","",SUMIFS(transactions!$I$2:$I$501,transactions!$C$2:$C$501,AA$1,transactions!$B$2:$B$501,"&lt;="&amp;$A58))</f>
        <v/>
      </c>
      <c r="AB58" s="17" t="str">
        <f aca="false">IF($A58="","",SUMIFS(transactions!$I$2:$I$501,transactions!$C$2:$C$501,AB$1,transactions!$B$2:$B$501,"&lt;="&amp;$A58))</f>
        <v/>
      </c>
      <c r="AC58" s="17" t="str">
        <f aca="false">IF($A58="","",SUMIFS(transactions!$I$2:$I$501,transactions!$C$2:$C$501,AC$1,transactions!$B$2:$B$501,"&lt;="&amp;$A58))</f>
        <v/>
      </c>
      <c r="AD58" s="17" t="str">
        <f aca="false">IF($A58="","",SUMIFS(transactions!$I$2:$I$501,transactions!$C$2:$C$501,AD$1,transactions!$B$2:$B$501,"&lt;="&amp;$A58))</f>
        <v/>
      </c>
      <c r="AE58" s="17" t="str">
        <f aca="false">IF($A58="","",SUMIFS(transactions!$I$2:$I$501,transactions!$C$2:$C$501,AE$1,transactions!$B$2:$B$501,"&lt;="&amp;$A58))</f>
        <v/>
      </c>
      <c r="AF58" s="17" t="str">
        <f aca="false">IF($A58="","",SUMIFS(transactions!$I$2:$I$501,transactions!$C$2:$C$501,AF$1,transactions!$B$2:$B$501,"&lt;="&amp;$A58))</f>
        <v/>
      </c>
      <c r="AG58" s="17" t="str">
        <f aca="false">IF($A58="","",SUMIFS(transactions!$I$2:$I$501,transactions!$C$2:$C$501,AG$1,transactions!$B$2:$B$501,"&lt;="&amp;$A58))</f>
        <v/>
      </c>
      <c r="AH58" s="17" t="str">
        <f aca="false">IF($A58="","",SUMIFS(transactions!$I$2:$I$501,transactions!$C$2:$C$501,AH$1,transactions!$B$2:$B$501,"&lt;="&amp;$A58))</f>
        <v/>
      </c>
      <c r="AI58" s="17" t="str">
        <f aca="false">IF($A58="","",SUMIFS(transactions!$I$2:$I$501,transactions!$C$2:$C$501,AI$1,transactions!$B$2:$B$501,"&lt;="&amp;$A58))</f>
        <v/>
      </c>
      <c r="AJ58" s="17" t="str">
        <f aca="false">IF($A58="","",SUMIFS(transactions!$I$2:$I$501,transactions!$C$2:$C$501,AJ$1,transactions!$B$2:$B$501,"&lt;="&amp;$A58))</f>
        <v/>
      </c>
    </row>
    <row r="59" customFormat="false" ht="15" hidden="false" customHeight="false" outlineLevel="0" collapsed="false">
      <c r="A59" s="20" t="str">
        <f aca="false">IF(prices!A59="","",prices!A59)</f>
        <v/>
      </c>
      <c r="B59" s="17" t="str">
        <f aca="false">IF($A59="","",SUMIFS(transactions!$I$2:$I$501,transactions!$C$2:$C$501,B$1,transactions!$B$2:$B$501,"&lt;="&amp;$A59))</f>
        <v/>
      </c>
      <c r="C59" s="17" t="str">
        <f aca="false">IF($A59="","",SUMIFS(transactions!$I$2:$I$501,transactions!$C$2:$C$501,C$1,transactions!$B$2:$B$501,"&lt;="&amp;$A59))</f>
        <v/>
      </c>
      <c r="D59" s="17" t="str">
        <f aca="false">IF($A59="","",SUMIFS(transactions!$I$2:$I$501,transactions!$C$2:$C$501,D$1,transactions!$B$2:$B$501,"&lt;="&amp;$A59))</f>
        <v/>
      </c>
      <c r="E59" s="17" t="str">
        <f aca="false">IF($A59="","",SUMIFS(transactions!$I$2:$I$501,transactions!$C$2:$C$501,E$1,transactions!$B$2:$B$501,"&lt;="&amp;$A59))</f>
        <v/>
      </c>
      <c r="F59" s="17" t="str">
        <f aca="false">IF($A59="","",SUMIFS(transactions!$I$2:$I$501,transactions!$C$2:$C$501,F$1,transactions!$B$2:$B$501,"&lt;="&amp;$A59))</f>
        <v/>
      </c>
      <c r="G59" s="17" t="str">
        <f aca="false">IF($A59="","",SUMIFS(transactions!$I$2:$I$501,transactions!$C$2:$C$501,G$1,transactions!$B$2:$B$501,"&lt;="&amp;$A59))</f>
        <v/>
      </c>
      <c r="H59" s="17" t="str">
        <f aca="false">IF($A59="","",SUMIFS(transactions!$I$2:$I$501,transactions!$C$2:$C$501,H$1,transactions!$B$2:$B$501,"&lt;="&amp;$A59))</f>
        <v/>
      </c>
      <c r="I59" s="17" t="str">
        <f aca="false">IF($A59="","",SUMIFS(transactions!$I$2:$I$501,transactions!$C$2:$C$501,I$1,transactions!$B$2:$B$501,"&lt;="&amp;$A59))</f>
        <v/>
      </c>
      <c r="J59" s="17" t="str">
        <f aca="false">IF($A59="","",SUMIFS(transactions!$I$2:$I$501,transactions!$C$2:$C$501,J$1,transactions!$B$2:$B$501,"&lt;="&amp;$A59))</f>
        <v/>
      </c>
      <c r="K59" s="17" t="str">
        <f aca="false">IF($A59="","",SUMIFS(transactions!$I$2:$I$501,transactions!$C$2:$C$501,K$1,transactions!$B$2:$B$501,"&lt;="&amp;$A59))</f>
        <v/>
      </c>
      <c r="L59" s="17" t="str">
        <f aca="false">IF($A59="","",SUMIFS(transactions!$I$2:$I$501,transactions!$C$2:$C$501,L$1,transactions!$B$2:$B$501,"&lt;="&amp;$A59))</f>
        <v/>
      </c>
      <c r="M59" s="17" t="str">
        <f aca="false">IF($A59="","",SUMIFS(transactions!$I$2:$I$501,transactions!$C$2:$C$501,M$1,transactions!$B$2:$B$501,"&lt;="&amp;$A59))</f>
        <v/>
      </c>
      <c r="N59" s="17" t="str">
        <f aca="false">IF($A59="","",SUMIFS(transactions!$I$2:$I$501,transactions!$C$2:$C$501,N$1,transactions!$B$2:$B$501,"&lt;="&amp;$A59))</f>
        <v/>
      </c>
      <c r="O59" s="17" t="str">
        <f aca="false">IF($A59="","",SUMIFS(transactions!$I$2:$I$501,transactions!$C$2:$C$501,O$1,transactions!$B$2:$B$501,"&lt;="&amp;$A59))</f>
        <v/>
      </c>
      <c r="P59" s="17" t="str">
        <f aca="false">IF($A59="","",SUMIFS(transactions!$I$2:$I$501,transactions!$C$2:$C$501,P$1,transactions!$B$2:$B$501,"&lt;="&amp;$A59))</f>
        <v/>
      </c>
      <c r="Q59" s="17" t="str">
        <f aca="false">IF($A59="","",SUMIFS(transactions!$I$2:$I$501,transactions!$C$2:$C$501,Q$1,transactions!$B$2:$B$501,"&lt;="&amp;$A59))</f>
        <v/>
      </c>
      <c r="R59" s="17" t="str">
        <f aca="false">IF($A59="","",SUMIFS(transactions!$I$2:$I$501,transactions!$C$2:$C$501,R$1,transactions!$B$2:$B$501,"&lt;="&amp;$A59))</f>
        <v/>
      </c>
      <c r="S59" s="17" t="str">
        <f aca="false">IF($A59="","",SUMIFS(transactions!$I$2:$I$501,transactions!$C$2:$C$501,S$1,transactions!$B$2:$B$501,"&lt;="&amp;$A59))</f>
        <v/>
      </c>
      <c r="T59" s="17" t="str">
        <f aca="false">IF($A59="","",SUMIFS(transactions!$I$2:$I$501,transactions!$C$2:$C$501,T$1,transactions!$B$2:$B$501,"&lt;="&amp;$A59))</f>
        <v/>
      </c>
      <c r="U59" s="17" t="str">
        <f aca="false">IF($A59="","",SUMIFS(transactions!$I$2:$I$501,transactions!$C$2:$C$501,U$1,transactions!$B$2:$B$501,"&lt;="&amp;$A59))</f>
        <v/>
      </c>
      <c r="V59" s="17" t="str">
        <f aca="false">IF($A59="","",SUMIFS(transactions!$I$2:$I$501,transactions!$C$2:$C$501,V$1,transactions!$B$2:$B$501,"&lt;="&amp;$A59))</f>
        <v/>
      </c>
      <c r="W59" s="17" t="str">
        <f aca="false">IF($A59="","",SUMIFS(transactions!$I$2:$I$501,transactions!$C$2:$C$501,W$1,transactions!$B$2:$B$501,"&lt;="&amp;$A59))</f>
        <v/>
      </c>
      <c r="X59" s="17" t="str">
        <f aca="false">IF($A59="","",SUMIFS(transactions!$I$2:$I$501,transactions!$C$2:$C$501,X$1,transactions!$B$2:$B$501,"&lt;="&amp;$A59))</f>
        <v/>
      </c>
      <c r="Y59" s="17" t="str">
        <f aca="false">IF($A59="","",SUMIFS(transactions!$I$2:$I$501,transactions!$C$2:$C$501,Y$1,transactions!$B$2:$B$501,"&lt;="&amp;$A59))</f>
        <v/>
      </c>
      <c r="Z59" s="17" t="str">
        <f aca="false">IF($A59="","",SUMIFS(transactions!$I$2:$I$501,transactions!$C$2:$C$501,Z$1,transactions!$B$2:$B$501,"&lt;="&amp;$A59))</f>
        <v/>
      </c>
      <c r="AA59" s="17" t="str">
        <f aca="false">IF($A59="","",SUMIFS(transactions!$I$2:$I$501,transactions!$C$2:$C$501,AA$1,transactions!$B$2:$B$501,"&lt;="&amp;$A59))</f>
        <v/>
      </c>
      <c r="AB59" s="17" t="str">
        <f aca="false">IF($A59="","",SUMIFS(transactions!$I$2:$I$501,transactions!$C$2:$C$501,AB$1,transactions!$B$2:$B$501,"&lt;="&amp;$A59))</f>
        <v/>
      </c>
      <c r="AC59" s="17" t="str">
        <f aca="false">IF($A59="","",SUMIFS(transactions!$I$2:$I$501,transactions!$C$2:$C$501,AC$1,transactions!$B$2:$B$501,"&lt;="&amp;$A59))</f>
        <v/>
      </c>
      <c r="AD59" s="17" t="str">
        <f aca="false">IF($A59="","",SUMIFS(transactions!$I$2:$I$501,transactions!$C$2:$C$501,AD$1,transactions!$B$2:$B$501,"&lt;="&amp;$A59))</f>
        <v/>
      </c>
      <c r="AE59" s="17" t="str">
        <f aca="false">IF($A59="","",SUMIFS(transactions!$I$2:$I$501,transactions!$C$2:$C$501,AE$1,transactions!$B$2:$B$501,"&lt;="&amp;$A59))</f>
        <v/>
      </c>
      <c r="AF59" s="17" t="str">
        <f aca="false">IF($A59="","",SUMIFS(transactions!$I$2:$I$501,transactions!$C$2:$C$501,AF$1,transactions!$B$2:$B$501,"&lt;="&amp;$A59))</f>
        <v/>
      </c>
      <c r="AG59" s="17" t="str">
        <f aca="false">IF($A59="","",SUMIFS(transactions!$I$2:$I$501,transactions!$C$2:$C$501,AG$1,transactions!$B$2:$B$501,"&lt;="&amp;$A59))</f>
        <v/>
      </c>
      <c r="AH59" s="17" t="str">
        <f aca="false">IF($A59="","",SUMIFS(transactions!$I$2:$I$501,transactions!$C$2:$C$501,AH$1,transactions!$B$2:$B$501,"&lt;="&amp;$A59))</f>
        <v/>
      </c>
      <c r="AI59" s="17" t="str">
        <f aca="false">IF($A59="","",SUMIFS(transactions!$I$2:$I$501,transactions!$C$2:$C$501,AI$1,transactions!$B$2:$B$501,"&lt;="&amp;$A59))</f>
        <v/>
      </c>
      <c r="AJ59" s="17" t="str">
        <f aca="false">IF($A59="","",SUMIFS(transactions!$I$2:$I$501,transactions!$C$2:$C$501,AJ$1,transactions!$B$2:$B$501,"&lt;="&amp;$A59))</f>
        <v/>
      </c>
    </row>
    <row r="60" customFormat="false" ht="15" hidden="false" customHeight="false" outlineLevel="0" collapsed="false">
      <c r="A60" s="20" t="str">
        <f aca="false">IF(prices!A60="","",prices!A60)</f>
        <v/>
      </c>
      <c r="B60" s="17" t="str">
        <f aca="false">IF($A60="","",SUMIFS(transactions!$I$2:$I$501,transactions!$C$2:$C$501,B$1,transactions!$B$2:$B$501,"&lt;="&amp;$A60))</f>
        <v/>
      </c>
      <c r="C60" s="17" t="str">
        <f aca="false">IF($A60="","",SUMIFS(transactions!$I$2:$I$501,transactions!$C$2:$C$501,C$1,transactions!$B$2:$B$501,"&lt;="&amp;$A60))</f>
        <v/>
      </c>
      <c r="D60" s="17" t="str">
        <f aca="false">IF($A60="","",SUMIFS(transactions!$I$2:$I$501,transactions!$C$2:$C$501,D$1,transactions!$B$2:$B$501,"&lt;="&amp;$A60))</f>
        <v/>
      </c>
      <c r="E60" s="17" t="str">
        <f aca="false">IF($A60="","",SUMIFS(transactions!$I$2:$I$501,transactions!$C$2:$C$501,E$1,transactions!$B$2:$B$501,"&lt;="&amp;$A60))</f>
        <v/>
      </c>
      <c r="F60" s="17" t="str">
        <f aca="false">IF($A60="","",SUMIFS(transactions!$I$2:$I$501,transactions!$C$2:$C$501,F$1,transactions!$B$2:$B$501,"&lt;="&amp;$A60))</f>
        <v/>
      </c>
      <c r="G60" s="17" t="str">
        <f aca="false">IF($A60="","",SUMIFS(transactions!$I$2:$I$501,transactions!$C$2:$C$501,G$1,transactions!$B$2:$B$501,"&lt;="&amp;$A60))</f>
        <v/>
      </c>
      <c r="H60" s="17" t="str">
        <f aca="false">IF($A60="","",SUMIFS(transactions!$I$2:$I$501,transactions!$C$2:$C$501,H$1,transactions!$B$2:$B$501,"&lt;="&amp;$A60))</f>
        <v/>
      </c>
      <c r="I60" s="17" t="str">
        <f aca="false">IF($A60="","",SUMIFS(transactions!$I$2:$I$501,transactions!$C$2:$C$501,I$1,transactions!$B$2:$B$501,"&lt;="&amp;$A60))</f>
        <v/>
      </c>
      <c r="J60" s="17" t="str">
        <f aca="false">IF($A60="","",SUMIFS(transactions!$I$2:$I$501,transactions!$C$2:$C$501,J$1,transactions!$B$2:$B$501,"&lt;="&amp;$A60))</f>
        <v/>
      </c>
      <c r="K60" s="17" t="str">
        <f aca="false">IF($A60="","",SUMIFS(transactions!$I$2:$I$501,transactions!$C$2:$C$501,K$1,transactions!$B$2:$B$501,"&lt;="&amp;$A60))</f>
        <v/>
      </c>
      <c r="L60" s="17" t="str">
        <f aca="false">IF($A60="","",SUMIFS(transactions!$I$2:$I$501,transactions!$C$2:$C$501,L$1,transactions!$B$2:$B$501,"&lt;="&amp;$A60))</f>
        <v/>
      </c>
      <c r="M60" s="17" t="str">
        <f aca="false">IF($A60="","",SUMIFS(transactions!$I$2:$I$501,transactions!$C$2:$C$501,M$1,transactions!$B$2:$B$501,"&lt;="&amp;$A60))</f>
        <v/>
      </c>
      <c r="N60" s="17" t="str">
        <f aca="false">IF($A60="","",SUMIFS(transactions!$I$2:$I$501,transactions!$C$2:$C$501,N$1,transactions!$B$2:$B$501,"&lt;="&amp;$A60))</f>
        <v/>
      </c>
      <c r="O60" s="17" t="str">
        <f aca="false">IF($A60="","",SUMIFS(transactions!$I$2:$I$501,transactions!$C$2:$C$501,O$1,transactions!$B$2:$B$501,"&lt;="&amp;$A60))</f>
        <v/>
      </c>
      <c r="P60" s="17" t="str">
        <f aca="false">IF($A60="","",SUMIFS(transactions!$I$2:$I$501,transactions!$C$2:$C$501,P$1,transactions!$B$2:$B$501,"&lt;="&amp;$A60))</f>
        <v/>
      </c>
      <c r="Q60" s="17" t="str">
        <f aca="false">IF($A60="","",SUMIFS(transactions!$I$2:$I$501,transactions!$C$2:$C$501,Q$1,transactions!$B$2:$B$501,"&lt;="&amp;$A60))</f>
        <v/>
      </c>
      <c r="R60" s="17" t="str">
        <f aca="false">IF($A60="","",SUMIFS(transactions!$I$2:$I$501,transactions!$C$2:$C$501,R$1,transactions!$B$2:$B$501,"&lt;="&amp;$A60))</f>
        <v/>
      </c>
      <c r="S60" s="17" t="str">
        <f aca="false">IF($A60="","",SUMIFS(transactions!$I$2:$I$501,transactions!$C$2:$C$501,S$1,transactions!$B$2:$B$501,"&lt;="&amp;$A60))</f>
        <v/>
      </c>
      <c r="T60" s="17" t="str">
        <f aca="false">IF($A60="","",SUMIFS(transactions!$I$2:$I$501,transactions!$C$2:$C$501,T$1,transactions!$B$2:$B$501,"&lt;="&amp;$A60))</f>
        <v/>
      </c>
      <c r="U60" s="17" t="str">
        <f aca="false">IF($A60="","",SUMIFS(transactions!$I$2:$I$501,transactions!$C$2:$C$501,U$1,transactions!$B$2:$B$501,"&lt;="&amp;$A60))</f>
        <v/>
      </c>
      <c r="V60" s="17" t="str">
        <f aca="false">IF($A60="","",SUMIFS(transactions!$I$2:$I$501,transactions!$C$2:$C$501,V$1,transactions!$B$2:$B$501,"&lt;="&amp;$A60))</f>
        <v/>
      </c>
      <c r="W60" s="17" t="str">
        <f aca="false">IF($A60="","",SUMIFS(transactions!$I$2:$I$501,transactions!$C$2:$C$501,W$1,transactions!$B$2:$B$501,"&lt;="&amp;$A60))</f>
        <v/>
      </c>
      <c r="X60" s="17" t="str">
        <f aca="false">IF($A60="","",SUMIFS(transactions!$I$2:$I$501,transactions!$C$2:$C$501,X$1,transactions!$B$2:$B$501,"&lt;="&amp;$A60))</f>
        <v/>
      </c>
      <c r="Y60" s="17" t="str">
        <f aca="false">IF($A60="","",SUMIFS(transactions!$I$2:$I$501,transactions!$C$2:$C$501,Y$1,transactions!$B$2:$B$501,"&lt;="&amp;$A60))</f>
        <v/>
      </c>
      <c r="Z60" s="17" t="str">
        <f aca="false">IF($A60="","",SUMIFS(transactions!$I$2:$I$501,transactions!$C$2:$C$501,Z$1,transactions!$B$2:$B$501,"&lt;="&amp;$A60))</f>
        <v/>
      </c>
      <c r="AA60" s="17" t="str">
        <f aca="false">IF($A60="","",SUMIFS(transactions!$I$2:$I$501,transactions!$C$2:$C$501,AA$1,transactions!$B$2:$B$501,"&lt;="&amp;$A60))</f>
        <v/>
      </c>
      <c r="AB60" s="17" t="str">
        <f aca="false">IF($A60="","",SUMIFS(transactions!$I$2:$I$501,transactions!$C$2:$C$501,AB$1,transactions!$B$2:$B$501,"&lt;="&amp;$A60))</f>
        <v/>
      </c>
      <c r="AC60" s="17" t="str">
        <f aca="false">IF($A60="","",SUMIFS(transactions!$I$2:$I$501,transactions!$C$2:$C$501,AC$1,transactions!$B$2:$B$501,"&lt;="&amp;$A60))</f>
        <v/>
      </c>
      <c r="AD60" s="17" t="str">
        <f aca="false">IF($A60="","",SUMIFS(transactions!$I$2:$I$501,transactions!$C$2:$C$501,AD$1,transactions!$B$2:$B$501,"&lt;="&amp;$A60))</f>
        <v/>
      </c>
      <c r="AE60" s="17" t="str">
        <f aca="false">IF($A60="","",SUMIFS(transactions!$I$2:$I$501,transactions!$C$2:$C$501,AE$1,transactions!$B$2:$B$501,"&lt;="&amp;$A60))</f>
        <v/>
      </c>
      <c r="AF60" s="17" t="str">
        <f aca="false">IF($A60="","",SUMIFS(transactions!$I$2:$I$501,transactions!$C$2:$C$501,AF$1,transactions!$B$2:$B$501,"&lt;="&amp;$A60))</f>
        <v/>
      </c>
      <c r="AG60" s="17" t="str">
        <f aca="false">IF($A60="","",SUMIFS(transactions!$I$2:$I$501,transactions!$C$2:$C$501,AG$1,transactions!$B$2:$B$501,"&lt;="&amp;$A60))</f>
        <v/>
      </c>
      <c r="AH60" s="17" t="str">
        <f aca="false">IF($A60="","",SUMIFS(transactions!$I$2:$I$501,transactions!$C$2:$C$501,AH$1,transactions!$B$2:$B$501,"&lt;="&amp;$A60))</f>
        <v/>
      </c>
      <c r="AI60" s="17" t="str">
        <f aca="false">IF($A60="","",SUMIFS(transactions!$I$2:$I$501,transactions!$C$2:$C$501,AI$1,transactions!$B$2:$B$501,"&lt;="&amp;$A60))</f>
        <v/>
      </c>
      <c r="AJ60" s="17" t="str">
        <f aca="false">IF($A60="","",SUMIFS(transactions!$I$2:$I$501,transactions!$C$2:$C$501,AJ$1,transactions!$B$2:$B$501,"&lt;="&amp;$A60))</f>
        <v/>
      </c>
    </row>
    <row r="61" customFormat="false" ht="15" hidden="false" customHeight="false" outlineLevel="0" collapsed="false">
      <c r="A61" s="20" t="str">
        <f aca="false">IF(prices!A61="","",prices!A61)</f>
        <v/>
      </c>
      <c r="B61" s="17" t="str">
        <f aca="false">IF($A61="","",SUMIFS(transactions!$I$2:$I$501,transactions!$C$2:$C$501,B$1,transactions!$B$2:$B$501,"&lt;="&amp;$A61))</f>
        <v/>
      </c>
      <c r="C61" s="17" t="str">
        <f aca="false">IF($A61="","",SUMIFS(transactions!$I$2:$I$501,transactions!$C$2:$C$501,C$1,transactions!$B$2:$B$501,"&lt;="&amp;$A61))</f>
        <v/>
      </c>
      <c r="D61" s="17" t="str">
        <f aca="false">IF($A61="","",SUMIFS(transactions!$I$2:$I$501,transactions!$C$2:$C$501,D$1,transactions!$B$2:$B$501,"&lt;="&amp;$A61))</f>
        <v/>
      </c>
      <c r="E61" s="17" t="str">
        <f aca="false">IF($A61="","",SUMIFS(transactions!$I$2:$I$501,transactions!$C$2:$C$501,E$1,transactions!$B$2:$B$501,"&lt;="&amp;$A61))</f>
        <v/>
      </c>
      <c r="F61" s="17" t="str">
        <f aca="false">IF($A61="","",SUMIFS(transactions!$I$2:$I$501,transactions!$C$2:$C$501,F$1,transactions!$B$2:$B$501,"&lt;="&amp;$A61))</f>
        <v/>
      </c>
      <c r="G61" s="17" t="str">
        <f aca="false">IF($A61="","",SUMIFS(transactions!$I$2:$I$501,transactions!$C$2:$C$501,G$1,transactions!$B$2:$B$501,"&lt;="&amp;$A61))</f>
        <v/>
      </c>
      <c r="H61" s="17" t="str">
        <f aca="false">IF($A61="","",SUMIFS(transactions!$I$2:$I$501,transactions!$C$2:$C$501,H$1,transactions!$B$2:$B$501,"&lt;="&amp;$A61))</f>
        <v/>
      </c>
      <c r="I61" s="17" t="str">
        <f aca="false">IF($A61="","",SUMIFS(transactions!$I$2:$I$501,transactions!$C$2:$C$501,I$1,transactions!$B$2:$B$501,"&lt;="&amp;$A61))</f>
        <v/>
      </c>
      <c r="J61" s="17" t="str">
        <f aca="false">IF($A61="","",SUMIFS(transactions!$I$2:$I$501,transactions!$C$2:$C$501,J$1,transactions!$B$2:$B$501,"&lt;="&amp;$A61))</f>
        <v/>
      </c>
      <c r="K61" s="17" t="str">
        <f aca="false">IF($A61="","",SUMIFS(transactions!$I$2:$I$501,transactions!$C$2:$C$501,K$1,transactions!$B$2:$B$501,"&lt;="&amp;$A61))</f>
        <v/>
      </c>
      <c r="L61" s="17" t="str">
        <f aca="false">IF($A61="","",SUMIFS(transactions!$I$2:$I$501,transactions!$C$2:$C$501,L$1,transactions!$B$2:$B$501,"&lt;="&amp;$A61))</f>
        <v/>
      </c>
      <c r="M61" s="17" t="str">
        <f aca="false">IF($A61="","",SUMIFS(transactions!$I$2:$I$501,transactions!$C$2:$C$501,M$1,transactions!$B$2:$B$501,"&lt;="&amp;$A61))</f>
        <v/>
      </c>
      <c r="N61" s="17" t="str">
        <f aca="false">IF($A61="","",SUMIFS(transactions!$I$2:$I$501,transactions!$C$2:$C$501,N$1,transactions!$B$2:$B$501,"&lt;="&amp;$A61))</f>
        <v/>
      </c>
      <c r="O61" s="17" t="str">
        <f aca="false">IF($A61="","",SUMIFS(transactions!$I$2:$I$501,transactions!$C$2:$C$501,O$1,transactions!$B$2:$B$501,"&lt;="&amp;$A61))</f>
        <v/>
      </c>
      <c r="P61" s="17" t="str">
        <f aca="false">IF($A61="","",SUMIFS(transactions!$I$2:$I$501,transactions!$C$2:$C$501,P$1,transactions!$B$2:$B$501,"&lt;="&amp;$A61))</f>
        <v/>
      </c>
      <c r="Q61" s="17" t="str">
        <f aca="false">IF($A61="","",SUMIFS(transactions!$I$2:$I$501,transactions!$C$2:$C$501,Q$1,transactions!$B$2:$B$501,"&lt;="&amp;$A61))</f>
        <v/>
      </c>
      <c r="R61" s="17" t="str">
        <f aca="false">IF($A61="","",SUMIFS(transactions!$I$2:$I$501,transactions!$C$2:$C$501,R$1,transactions!$B$2:$B$501,"&lt;="&amp;$A61))</f>
        <v/>
      </c>
      <c r="S61" s="17" t="str">
        <f aca="false">IF($A61="","",SUMIFS(transactions!$I$2:$I$501,transactions!$C$2:$C$501,S$1,transactions!$B$2:$B$501,"&lt;="&amp;$A61))</f>
        <v/>
      </c>
      <c r="T61" s="17" t="str">
        <f aca="false">IF($A61="","",SUMIFS(transactions!$I$2:$I$501,transactions!$C$2:$C$501,T$1,transactions!$B$2:$B$501,"&lt;="&amp;$A61))</f>
        <v/>
      </c>
      <c r="U61" s="17" t="str">
        <f aca="false">IF($A61="","",SUMIFS(transactions!$I$2:$I$501,transactions!$C$2:$C$501,U$1,transactions!$B$2:$B$501,"&lt;="&amp;$A61))</f>
        <v/>
      </c>
      <c r="V61" s="17" t="str">
        <f aca="false">IF($A61="","",SUMIFS(transactions!$I$2:$I$501,transactions!$C$2:$C$501,V$1,transactions!$B$2:$B$501,"&lt;="&amp;$A61))</f>
        <v/>
      </c>
      <c r="W61" s="17" t="str">
        <f aca="false">IF($A61="","",SUMIFS(transactions!$I$2:$I$501,transactions!$C$2:$C$501,W$1,transactions!$B$2:$B$501,"&lt;="&amp;$A61))</f>
        <v/>
      </c>
      <c r="X61" s="17" t="str">
        <f aca="false">IF($A61="","",SUMIFS(transactions!$I$2:$I$501,transactions!$C$2:$C$501,X$1,transactions!$B$2:$B$501,"&lt;="&amp;$A61))</f>
        <v/>
      </c>
      <c r="Y61" s="17" t="str">
        <f aca="false">IF($A61="","",SUMIFS(transactions!$I$2:$I$501,transactions!$C$2:$C$501,Y$1,transactions!$B$2:$B$501,"&lt;="&amp;$A61))</f>
        <v/>
      </c>
      <c r="Z61" s="17" t="str">
        <f aca="false">IF($A61="","",SUMIFS(transactions!$I$2:$I$501,transactions!$C$2:$C$501,Z$1,transactions!$B$2:$B$501,"&lt;="&amp;$A61))</f>
        <v/>
      </c>
      <c r="AA61" s="17" t="str">
        <f aca="false">IF($A61="","",SUMIFS(transactions!$I$2:$I$501,transactions!$C$2:$C$501,AA$1,transactions!$B$2:$B$501,"&lt;="&amp;$A61))</f>
        <v/>
      </c>
      <c r="AB61" s="17" t="str">
        <f aca="false">IF($A61="","",SUMIFS(transactions!$I$2:$I$501,transactions!$C$2:$C$501,AB$1,transactions!$B$2:$B$501,"&lt;="&amp;$A61))</f>
        <v/>
      </c>
      <c r="AC61" s="17" t="str">
        <f aca="false">IF($A61="","",SUMIFS(transactions!$I$2:$I$501,transactions!$C$2:$C$501,AC$1,transactions!$B$2:$B$501,"&lt;="&amp;$A61))</f>
        <v/>
      </c>
      <c r="AD61" s="17" t="str">
        <f aca="false">IF($A61="","",SUMIFS(transactions!$I$2:$I$501,transactions!$C$2:$C$501,AD$1,transactions!$B$2:$B$501,"&lt;="&amp;$A61))</f>
        <v/>
      </c>
      <c r="AE61" s="17" t="str">
        <f aca="false">IF($A61="","",SUMIFS(transactions!$I$2:$I$501,transactions!$C$2:$C$501,AE$1,transactions!$B$2:$B$501,"&lt;="&amp;$A61))</f>
        <v/>
      </c>
      <c r="AF61" s="17" t="str">
        <f aca="false">IF($A61="","",SUMIFS(transactions!$I$2:$I$501,transactions!$C$2:$C$501,AF$1,transactions!$B$2:$B$501,"&lt;="&amp;$A61))</f>
        <v/>
      </c>
      <c r="AG61" s="17" t="str">
        <f aca="false">IF($A61="","",SUMIFS(transactions!$I$2:$I$501,transactions!$C$2:$C$501,AG$1,transactions!$B$2:$B$501,"&lt;="&amp;$A61))</f>
        <v/>
      </c>
      <c r="AH61" s="17" t="str">
        <f aca="false">IF($A61="","",SUMIFS(transactions!$I$2:$I$501,transactions!$C$2:$C$501,AH$1,transactions!$B$2:$B$501,"&lt;="&amp;$A61))</f>
        <v/>
      </c>
      <c r="AI61" s="17" t="str">
        <f aca="false">IF($A61="","",SUMIFS(transactions!$I$2:$I$501,transactions!$C$2:$C$501,AI$1,transactions!$B$2:$B$501,"&lt;="&amp;$A61))</f>
        <v/>
      </c>
      <c r="AJ61" s="17" t="str">
        <f aca="false">IF($A61="","",SUMIFS(transactions!$I$2:$I$501,transactions!$C$2:$C$501,AJ$1,transactions!$B$2:$B$501,"&lt;="&amp;$A61))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14"/>
    <col collapsed="false" customWidth="true" hidden="false" outlineLevel="0" max="7" min="4" style="0" width="16"/>
    <col collapsed="false" customWidth="true" hidden="false" outlineLevel="0" max="9" min="8" style="0" width="12"/>
  </cols>
  <sheetData>
    <row r="1" customFormat="false" ht="15" hidden="false" customHeight="false" outlineLevel="0" collapsed="false">
      <c r="A1" s="10" t="s">
        <v>185</v>
      </c>
      <c r="B1" s="10" t="s">
        <v>266</v>
      </c>
      <c r="C1" s="10" t="s">
        <v>267</v>
      </c>
      <c r="D1" s="10" t="s">
        <v>268</v>
      </c>
      <c r="E1" s="10" t="s">
        <v>269</v>
      </c>
      <c r="F1" s="10" t="s">
        <v>270</v>
      </c>
      <c r="G1" s="10" t="s">
        <v>271</v>
      </c>
      <c r="H1" s="10" t="s">
        <v>272</v>
      </c>
      <c r="I1" s="10" t="s">
        <v>273</v>
      </c>
    </row>
    <row r="2" customFormat="false" ht="15" hidden="false" customHeight="false" outlineLevel="0" collapsed="false">
      <c r="A2" s="20" t="n">
        <f aca="false">IF(prices!A2="","",prices!A2)</f>
        <v>46101</v>
      </c>
      <c r="B2" s="18" t="n">
        <f aca="false">IF($A2="","",SUMPRODUCT(positions!B2:AJ2,prices!B2:AJ2))</f>
        <v>9995812.17</v>
      </c>
      <c r="C2" s="18" t="n">
        <f aca="false">IF($A2="","",settings!$B$3-SUMIFS(transactions!$J$2:$J$501,transactions!$B$2:$B$501,"&lt;="&amp;$A2))</f>
        <v>4187.83000000007</v>
      </c>
      <c r="D2" s="18" t="n">
        <f aca="false">IF($A2="","",B2+C2)</f>
        <v>10000000</v>
      </c>
      <c r="E2" s="21" t="n">
        <f aca="false">IF($A2="","",D2/settings!$B$3*100)</f>
        <v>100</v>
      </c>
      <c r="F2" s="22" t="n">
        <f aca="false">IF($A2="","",prices!AK2)</f>
        <v>21327.9</v>
      </c>
      <c r="G2" s="21" t="n">
        <f aca="false">IF($A2="","",F2/INDEX($F$2:$F$61,MATCH(settings!$B$2,$A$2:$A$61,0))*100)</f>
        <v>100</v>
      </c>
      <c r="H2" s="23" t="n">
        <f aca="false">IF($A2="","",E2-G2)</f>
        <v>0</v>
      </c>
      <c r="I2" s="24" t="n">
        <f aca="false">IF($A2="","",E2/MAX($E$2:E2)-1)</f>
        <v>0</v>
      </c>
    </row>
    <row r="3" customFormat="false" ht="15" hidden="false" customHeight="false" outlineLevel="0" collapsed="false">
      <c r="A3" s="20" t="n">
        <f aca="false">IF(prices!A3="","",prices!A3)</f>
        <v>46310</v>
      </c>
      <c r="B3" s="18" t="n">
        <f aca="false">IF($A3="","",SUMPRODUCT(positions!B3:AJ3,prices!B3:AJ3))</f>
        <v>10223271.988</v>
      </c>
      <c r="C3" s="18" t="n">
        <f aca="false">IF($A3="","",settings!$B$3-SUMIFS(transactions!$J$2:$J$501,transactions!$B$2:$B$501,"&lt;="&amp;$A3))</f>
        <v>4187.83000000007</v>
      </c>
      <c r="D3" s="18" t="n">
        <f aca="false">IF($A3="","",B3+C3)</f>
        <v>10227459.818</v>
      </c>
      <c r="E3" s="21" t="n">
        <f aca="false">IF($A3="","",D3/settings!$B$3*100)</f>
        <v>102.27459818</v>
      </c>
      <c r="F3" s="22" t="n">
        <f aca="false">IF($A3="","",prices!AK3)</f>
        <v>22155.55</v>
      </c>
      <c r="G3" s="21" t="n">
        <f aca="false">IF($A3="","",F3/INDEX($F$2:$F$61,MATCH(settings!$B$2,$A$2:$A$61,0))*100)</f>
        <v>103.88059771473</v>
      </c>
      <c r="H3" s="23" t="n">
        <f aca="false">IF($A3="","",E3-G3)</f>
        <v>-1.60599953473046</v>
      </c>
      <c r="I3" s="24" t="n">
        <f aca="false">IF($A3="","",E3/MAX($E$2:E3)-1)</f>
        <v>0</v>
      </c>
    </row>
    <row r="4" customFormat="false" ht="15" hidden="false" customHeight="false" outlineLevel="0" collapsed="false">
      <c r="A4" s="20" t="str">
        <f aca="false">IF(prices!A4="","",prices!A4)</f>
        <v/>
      </c>
      <c r="B4" s="18" t="str">
        <f aca="false">IF($A4="","",SUMPRODUCT(positions!B4:AJ4,prices!B4:AJ4))</f>
        <v/>
      </c>
      <c r="C4" s="18" t="str">
        <f aca="false">IF($A4="","",settings!$B$3-SUMIFS(transactions!$J$2:$J$501,transactions!$B$2:$B$501,"&lt;="&amp;$A4))</f>
        <v/>
      </c>
      <c r="D4" s="18" t="str">
        <f aca="false">IF($A4="","",B4+C4)</f>
        <v/>
      </c>
      <c r="E4" s="21" t="str">
        <f aca="false">IF($A4="","",D4/settings!$B$3*100)</f>
        <v/>
      </c>
      <c r="F4" s="22" t="str">
        <f aca="false">IF($A4="","",prices!AK4)</f>
        <v/>
      </c>
      <c r="G4" s="21" t="str">
        <f aca="false">IF($A4="","",F4/INDEX($F$2:$F$61,MATCH(settings!$B$2,$A$2:$A$61,0))*100)</f>
        <v/>
      </c>
      <c r="H4" s="23" t="str">
        <f aca="false">IF($A4="","",E4-G4)</f>
        <v/>
      </c>
      <c r="I4" s="24" t="str">
        <f aca="false">IF($A4="","",E4/MAX($E$2:E4)-1)</f>
        <v/>
      </c>
    </row>
    <row r="5" customFormat="false" ht="15" hidden="false" customHeight="false" outlineLevel="0" collapsed="false">
      <c r="A5" s="20" t="str">
        <f aca="false">IF(prices!A5="","",prices!A5)</f>
        <v/>
      </c>
      <c r="B5" s="18" t="str">
        <f aca="false">IF($A5="","",SUMPRODUCT(positions!B5:AJ5,prices!B5:AJ5))</f>
        <v/>
      </c>
      <c r="C5" s="18" t="str">
        <f aca="false">IF($A5="","",settings!$B$3-SUMIFS(transactions!$J$2:$J$501,transactions!$B$2:$B$501,"&lt;="&amp;$A5))</f>
        <v/>
      </c>
      <c r="D5" s="18" t="str">
        <f aca="false">IF($A5="","",B5+C5)</f>
        <v/>
      </c>
      <c r="E5" s="21" t="str">
        <f aca="false">IF($A5="","",D5/settings!$B$3*100)</f>
        <v/>
      </c>
      <c r="F5" s="22" t="str">
        <f aca="false">IF($A5="","",prices!AK5)</f>
        <v/>
      </c>
      <c r="G5" s="21" t="str">
        <f aca="false">IF($A5="","",F5/INDEX($F$2:$F$61,MATCH(settings!$B$2,$A$2:$A$61,0))*100)</f>
        <v/>
      </c>
      <c r="H5" s="23" t="str">
        <f aca="false">IF($A5="","",E5-G5)</f>
        <v/>
      </c>
      <c r="I5" s="24" t="str">
        <f aca="false">IF($A5="","",E5/MAX($E$2:E5)-1)</f>
        <v/>
      </c>
    </row>
    <row r="6" customFormat="false" ht="15" hidden="false" customHeight="false" outlineLevel="0" collapsed="false">
      <c r="A6" s="20" t="str">
        <f aca="false">IF(prices!A6="","",prices!A6)</f>
        <v/>
      </c>
      <c r="B6" s="18" t="str">
        <f aca="false">IF($A6="","",SUMPRODUCT(positions!B6:AJ6,prices!B6:AJ6))</f>
        <v/>
      </c>
      <c r="C6" s="18" t="str">
        <f aca="false">IF($A6="","",settings!$B$3-SUMIFS(transactions!$J$2:$J$501,transactions!$B$2:$B$501,"&lt;="&amp;$A6))</f>
        <v/>
      </c>
      <c r="D6" s="18" t="str">
        <f aca="false">IF($A6="","",B6+C6)</f>
        <v/>
      </c>
      <c r="E6" s="21" t="str">
        <f aca="false">IF($A6="","",D6/settings!$B$3*100)</f>
        <v/>
      </c>
      <c r="F6" s="22" t="str">
        <f aca="false">IF($A6="","",prices!AK6)</f>
        <v/>
      </c>
      <c r="G6" s="21" t="str">
        <f aca="false">IF($A6="","",F6/INDEX($F$2:$F$61,MATCH(settings!$B$2,$A$2:$A$61,0))*100)</f>
        <v/>
      </c>
      <c r="H6" s="23" t="str">
        <f aca="false">IF($A6="","",E6-G6)</f>
        <v/>
      </c>
      <c r="I6" s="24" t="str">
        <f aca="false">IF($A6="","",E6/MAX($E$2:E6)-1)</f>
        <v/>
      </c>
    </row>
    <row r="7" customFormat="false" ht="15" hidden="false" customHeight="false" outlineLevel="0" collapsed="false">
      <c r="A7" s="20" t="str">
        <f aca="false">IF(prices!A7="","",prices!A7)</f>
        <v/>
      </c>
      <c r="B7" s="18" t="str">
        <f aca="false">IF($A7="","",SUMPRODUCT(positions!B7:AJ7,prices!B7:AJ7))</f>
        <v/>
      </c>
      <c r="C7" s="18" t="str">
        <f aca="false">IF($A7="","",settings!$B$3-SUMIFS(transactions!$J$2:$J$501,transactions!$B$2:$B$501,"&lt;="&amp;$A7))</f>
        <v/>
      </c>
      <c r="D7" s="18" t="str">
        <f aca="false">IF($A7="","",B7+C7)</f>
        <v/>
      </c>
      <c r="E7" s="21" t="str">
        <f aca="false">IF($A7="","",D7/settings!$B$3*100)</f>
        <v/>
      </c>
      <c r="F7" s="22" t="str">
        <f aca="false">IF($A7="","",prices!AK7)</f>
        <v/>
      </c>
      <c r="G7" s="21" t="str">
        <f aca="false">IF($A7="","",F7/INDEX($F$2:$F$61,MATCH(settings!$B$2,$A$2:$A$61,0))*100)</f>
        <v/>
      </c>
      <c r="H7" s="23" t="str">
        <f aca="false">IF($A7="","",E7-G7)</f>
        <v/>
      </c>
      <c r="I7" s="24" t="str">
        <f aca="false">IF($A7="","",E7/MAX($E$2:E7)-1)</f>
        <v/>
      </c>
    </row>
    <row r="8" customFormat="false" ht="15" hidden="false" customHeight="false" outlineLevel="0" collapsed="false">
      <c r="A8" s="20" t="str">
        <f aca="false">IF(prices!A8="","",prices!A8)</f>
        <v/>
      </c>
      <c r="B8" s="18" t="str">
        <f aca="false">IF($A8="","",SUMPRODUCT(positions!B8:AJ8,prices!B8:AJ8))</f>
        <v/>
      </c>
      <c r="C8" s="18" t="str">
        <f aca="false">IF($A8="","",settings!$B$3-SUMIFS(transactions!$J$2:$J$501,transactions!$B$2:$B$501,"&lt;="&amp;$A8))</f>
        <v/>
      </c>
      <c r="D8" s="18" t="str">
        <f aca="false">IF($A8="","",B8+C8)</f>
        <v/>
      </c>
      <c r="E8" s="21" t="str">
        <f aca="false">IF($A8="","",D8/settings!$B$3*100)</f>
        <v/>
      </c>
      <c r="F8" s="22" t="str">
        <f aca="false">IF($A8="","",prices!AK8)</f>
        <v/>
      </c>
      <c r="G8" s="21" t="str">
        <f aca="false">IF($A8="","",F8/INDEX($F$2:$F$61,MATCH(settings!$B$2,$A$2:$A$61,0))*100)</f>
        <v/>
      </c>
      <c r="H8" s="23" t="str">
        <f aca="false">IF($A8="","",E8-G8)</f>
        <v/>
      </c>
      <c r="I8" s="24" t="str">
        <f aca="false">IF($A8="","",E8/MAX($E$2:E8)-1)</f>
        <v/>
      </c>
    </row>
    <row r="9" customFormat="false" ht="15" hidden="false" customHeight="false" outlineLevel="0" collapsed="false">
      <c r="A9" s="20" t="str">
        <f aca="false">IF(prices!A9="","",prices!A9)</f>
        <v/>
      </c>
      <c r="B9" s="18" t="str">
        <f aca="false">IF($A9="","",SUMPRODUCT(positions!B9:AJ9,prices!B9:AJ9))</f>
        <v/>
      </c>
      <c r="C9" s="18" t="str">
        <f aca="false">IF($A9="","",settings!$B$3-SUMIFS(transactions!$J$2:$J$501,transactions!$B$2:$B$501,"&lt;="&amp;$A9))</f>
        <v/>
      </c>
      <c r="D9" s="18" t="str">
        <f aca="false">IF($A9="","",B9+C9)</f>
        <v/>
      </c>
      <c r="E9" s="21" t="str">
        <f aca="false">IF($A9="","",D9/settings!$B$3*100)</f>
        <v/>
      </c>
      <c r="F9" s="22" t="str">
        <f aca="false">IF($A9="","",prices!AK9)</f>
        <v/>
      </c>
      <c r="G9" s="21" t="str">
        <f aca="false">IF($A9="","",F9/INDEX($F$2:$F$61,MATCH(settings!$B$2,$A$2:$A$61,0))*100)</f>
        <v/>
      </c>
      <c r="H9" s="23" t="str">
        <f aca="false">IF($A9="","",E9-G9)</f>
        <v/>
      </c>
      <c r="I9" s="24" t="str">
        <f aca="false">IF($A9="","",E9/MAX($E$2:E9)-1)</f>
        <v/>
      </c>
    </row>
    <row r="10" customFormat="false" ht="15" hidden="false" customHeight="false" outlineLevel="0" collapsed="false">
      <c r="A10" s="20" t="str">
        <f aca="false">IF(prices!A10="","",prices!A10)</f>
        <v/>
      </c>
      <c r="B10" s="18" t="str">
        <f aca="false">IF($A10="","",SUMPRODUCT(positions!B10:AJ10,prices!B10:AJ10))</f>
        <v/>
      </c>
      <c r="C10" s="18" t="str">
        <f aca="false">IF($A10="","",settings!$B$3-SUMIFS(transactions!$J$2:$J$501,transactions!$B$2:$B$501,"&lt;="&amp;$A10))</f>
        <v/>
      </c>
      <c r="D10" s="18" t="str">
        <f aca="false">IF($A10="","",B10+C10)</f>
        <v/>
      </c>
      <c r="E10" s="21" t="str">
        <f aca="false">IF($A10="","",D10/settings!$B$3*100)</f>
        <v/>
      </c>
      <c r="F10" s="22" t="str">
        <f aca="false">IF($A10="","",prices!AK10)</f>
        <v/>
      </c>
      <c r="G10" s="21" t="str">
        <f aca="false">IF($A10="","",F10/INDEX($F$2:$F$61,MATCH(settings!$B$2,$A$2:$A$61,0))*100)</f>
        <v/>
      </c>
      <c r="H10" s="23" t="str">
        <f aca="false">IF($A10="","",E10-G10)</f>
        <v/>
      </c>
      <c r="I10" s="24" t="str">
        <f aca="false">IF($A10="","",E10/MAX($E$2:E10)-1)</f>
        <v/>
      </c>
    </row>
    <row r="11" customFormat="false" ht="15" hidden="false" customHeight="false" outlineLevel="0" collapsed="false">
      <c r="A11" s="20" t="str">
        <f aca="false">IF(prices!A11="","",prices!A11)</f>
        <v/>
      </c>
      <c r="B11" s="18" t="str">
        <f aca="false">IF($A11="","",SUMPRODUCT(positions!B11:AJ11,prices!B11:AJ11))</f>
        <v/>
      </c>
      <c r="C11" s="18" t="str">
        <f aca="false">IF($A11="","",settings!$B$3-SUMIFS(transactions!$J$2:$J$501,transactions!$B$2:$B$501,"&lt;="&amp;$A11))</f>
        <v/>
      </c>
      <c r="D11" s="18" t="str">
        <f aca="false">IF($A11="","",B11+C11)</f>
        <v/>
      </c>
      <c r="E11" s="21" t="str">
        <f aca="false">IF($A11="","",D11/settings!$B$3*100)</f>
        <v/>
      </c>
      <c r="F11" s="22" t="str">
        <f aca="false">IF($A11="","",prices!AK11)</f>
        <v/>
      </c>
      <c r="G11" s="21" t="str">
        <f aca="false">IF($A11="","",F11/INDEX($F$2:$F$61,MATCH(settings!$B$2,$A$2:$A$61,0))*100)</f>
        <v/>
      </c>
      <c r="H11" s="23" t="str">
        <f aca="false">IF($A11="","",E11-G11)</f>
        <v/>
      </c>
      <c r="I11" s="24" t="str">
        <f aca="false">IF($A11="","",E11/MAX($E$2:E11)-1)</f>
        <v/>
      </c>
    </row>
    <row r="12" customFormat="false" ht="15" hidden="false" customHeight="false" outlineLevel="0" collapsed="false">
      <c r="A12" s="20" t="str">
        <f aca="false">IF(prices!A12="","",prices!A12)</f>
        <v/>
      </c>
      <c r="B12" s="18" t="str">
        <f aca="false">IF($A12="","",SUMPRODUCT(positions!B12:AJ12,prices!B12:AJ12))</f>
        <v/>
      </c>
      <c r="C12" s="18" t="str">
        <f aca="false">IF($A12="","",settings!$B$3-SUMIFS(transactions!$J$2:$J$501,transactions!$B$2:$B$501,"&lt;="&amp;$A12))</f>
        <v/>
      </c>
      <c r="D12" s="18" t="str">
        <f aca="false">IF($A12="","",B12+C12)</f>
        <v/>
      </c>
      <c r="E12" s="21" t="str">
        <f aca="false">IF($A12="","",D12/settings!$B$3*100)</f>
        <v/>
      </c>
      <c r="F12" s="22" t="str">
        <f aca="false">IF($A12="","",prices!AK12)</f>
        <v/>
      </c>
      <c r="G12" s="21" t="str">
        <f aca="false">IF($A12="","",F12/INDEX($F$2:$F$61,MATCH(settings!$B$2,$A$2:$A$61,0))*100)</f>
        <v/>
      </c>
      <c r="H12" s="23" t="str">
        <f aca="false">IF($A12="","",E12-G12)</f>
        <v/>
      </c>
      <c r="I12" s="24" t="str">
        <f aca="false">IF($A12="","",E12/MAX($E$2:E12)-1)</f>
        <v/>
      </c>
    </row>
    <row r="13" customFormat="false" ht="15" hidden="false" customHeight="false" outlineLevel="0" collapsed="false">
      <c r="A13" s="20" t="str">
        <f aca="false">IF(prices!A13="","",prices!A13)</f>
        <v/>
      </c>
      <c r="B13" s="18" t="str">
        <f aca="false">IF($A13="","",SUMPRODUCT(positions!B13:AJ13,prices!B13:AJ13))</f>
        <v/>
      </c>
      <c r="C13" s="18" t="str">
        <f aca="false">IF($A13="","",settings!$B$3-SUMIFS(transactions!$J$2:$J$501,transactions!$B$2:$B$501,"&lt;="&amp;$A13))</f>
        <v/>
      </c>
      <c r="D13" s="18" t="str">
        <f aca="false">IF($A13="","",B13+C13)</f>
        <v/>
      </c>
      <c r="E13" s="21" t="str">
        <f aca="false">IF($A13="","",D13/settings!$B$3*100)</f>
        <v/>
      </c>
      <c r="F13" s="22" t="str">
        <f aca="false">IF($A13="","",prices!AK13)</f>
        <v/>
      </c>
      <c r="G13" s="21" t="str">
        <f aca="false">IF($A13="","",F13/INDEX($F$2:$F$61,MATCH(settings!$B$2,$A$2:$A$61,0))*100)</f>
        <v/>
      </c>
      <c r="H13" s="23" t="str">
        <f aca="false">IF($A13="","",E13-G13)</f>
        <v/>
      </c>
      <c r="I13" s="24" t="str">
        <f aca="false">IF($A13="","",E13/MAX($E$2:E13)-1)</f>
        <v/>
      </c>
    </row>
    <row r="14" customFormat="false" ht="15" hidden="false" customHeight="false" outlineLevel="0" collapsed="false">
      <c r="A14" s="20" t="str">
        <f aca="false">IF(prices!A14="","",prices!A14)</f>
        <v/>
      </c>
      <c r="B14" s="18" t="str">
        <f aca="false">IF($A14="","",SUMPRODUCT(positions!B14:AJ14,prices!B14:AJ14))</f>
        <v/>
      </c>
      <c r="C14" s="18" t="str">
        <f aca="false">IF($A14="","",settings!$B$3-SUMIFS(transactions!$J$2:$J$501,transactions!$B$2:$B$501,"&lt;="&amp;$A14))</f>
        <v/>
      </c>
      <c r="D14" s="18" t="str">
        <f aca="false">IF($A14="","",B14+C14)</f>
        <v/>
      </c>
      <c r="E14" s="21" t="str">
        <f aca="false">IF($A14="","",D14/settings!$B$3*100)</f>
        <v/>
      </c>
      <c r="F14" s="22" t="str">
        <f aca="false">IF($A14="","",prices!AK14)</f>
        <v/>
      </c>
      <c r="G14" s="21" t="str">
        <f aca="false">IF($A14="","",F14/INDEX($F$2:$F$61,MATCH(settings!$B$2,$A$2:$A$61,0))*100)</f>
        <v/>
      </c>
      <c r="H14" s="23" t="str">
        <f aca="false">IF($A14="","",E14-G14)</f>
        <v/>
      </c>
      <c r="I14" s="24" t="str">
        <f aca="false">IF($A14="","",E14/MAX($E$2:E14)-1)</f>
        <v/>
      </c>
    </row>
    <row r="15" customFormat="false" ht="15" hidden="false" customHeight="false" outlineLevel="0" collapsed="false">
      <c r="A15" s="20" t="str">
        <f aca="false">IF(prices!A15="","",prices!A15)</f>
        <v/>
      </c>
      <c r="B15" s="18" t="str">
        <f aca="false">IF($A15="","",SUMPRODUCT(positions!B15:AJ15,prices!B15:AJ15))</f>
        <v/>
      </c>
      <c r="C15" s="18" t="str">
        <f aca="false">IF($A15="","",settings!$B$3-SUMIFS(transactions!$J$2:$J$501,transactions!$B$2:$B$501,"&lt;="&amp;$A15))</f>
        <v/>
      </c>
      <c r="D15" s="18" t="str">
        <f aca="false">IF($A15="","",B15+C15)</f>
        <v/>
      </c>
      <c r="E15" s="21" t="str">
        <f aca="false">IF($A15="","",D15/settings!$B$3*100)</f>
        <v/>
      </c>
      <c r="F15" s="22" t="str">
        <f aca="false">IF($A15="","",prices!AK15)</f>
        <v/>
      </c>
      <c r="G15" s="21" t="str">
        <f aca="false">IF($A15="","",F15/INDEX($F$2:$F$61,MATCH(settings!$B$2,$A$2:$A$61,0))*100)</f>
        <v/>
      </c>
      <c r="H15" s="23" t="str">
        <f aca="false">IF($A15="","",E15-G15)</f>
        <v/>
      </c>
      <c r="I15" s="24" t="str">
        <f aca="false">IF($A15="","",E15/MAX($E$2:E15)-1)</f>
        <v/>
      </c>
    </row>
    <row r="16" customFormat="false" ht="15" hidden="false" customHeight="false" outlineLevel="0" collapsed="false">
      <c r="A16" s="20" t="str">
        <f aca="false">IF(prices!A16="","",prices!A16)</f>
        <v/>
      </c>
      <c r="B16" s="18" t="str">
        <f aca="false">IF($A16="","",SUMPRODUCT(positions!B16:AJ16,prices!B16:AJ16))</f>
        <v/>
      </c>
      <c r="C16" s="18" t="str">
        <f aca="false">IF($A16="","",settings!$B$3-SUMIFS(transactions!$J$2:$J$501,transactions!$B$2:$B$501,"&lt;="&amp;$A16))</f>
        <v/>
      </c>
      <c r="D16" s="18" t="str">
        <f aca="false">IF($A16="","",B16+C16)</f>
        <v/>
      </c>
      <c r="E16" s="21" t="str">
        <f aca="false">IF($A16="","",D16/settings!$B$3*100)</f>
        <v/>
      </c>
      <c r="F16" s="22" t="str">
        <f aca="false">IF($A16="","",prices!AK16)</f>
        <v/>
      </c>
      <c r="G16" s="21" t="str">
        <f aca="false">IF($A16="","",F16/INDEX($F$2:$F$61,MATCH(settings!$B$2,$A$2:$A$61,0))*100)</f>
        <v/>
      </c>
      <c r="H16" s="23" t="str">
        <f aca="false">IF($A16="","",E16-G16)</f>
        <v/>
      </c>
      <c r="I16" s="24" t="str">
        <f aca="false">IF($A16="","",E16/MAX($E$2:E16)-1)</f>
        <v/>
      </c>
    </row>
    <row r="17" customFormat="false" ht="15" hidden="false" customHeight="false" outlineLevel="0" collapsed="false">
      <c r="A17" s="20" t="str">
        <f aca="false">IF(prices!A17="","",prices!A17)</f>
        <v/>
      </c>
      <c r="B17" s="18" t="str">
        <f aca="false">IF($A17="","",SUMPRODUCT(positions!B17:AJ17,prices!B17:AJ17))</f>
        <v/>
      </c>
      <c r="C17" s="18" t="str">
        <f aca="false">IF($A17="","",settings!$B$3-SUMIFS(transactions!$J$2:$J$501,transactions!$B$2:$B$501,"&lt;="&amp;$A17))</f>
        <v/>
      </c>
      <c r="D17" s="18" t="str">
        <f aca="false">IF($A17="","",B17+C17)</f>
        <v/>
      </c>
      <c r="E17" s="21" t="str">
        <f aca="false">IF($A17="","",D17/settings!$B$3*100)</f>
        <v/>
      </c>
      <c r="F17" s="22" t="str">
        <f aca="false">IF($A17="","",prices!AK17)</f>
        <v/>
      </c>
      <c r="G17" s="21" t="str">
        <f aca="false">IF($A17="","",F17/INDEX($F$2:$F$61,MATCH(settings!$B$2,$A$2:$A$61,0))*100)</f>
        <v/>
      </c>
      <c r="H17" s="23" t="str">
        <f aca="false">IF($A17="","",E17-G17)</f>
        <v/>
      </c>
      <c r="I17" s="24" t="str">
        <f aca="false">IF($A17="","",E17/MAX($E$2:E17)-1)</f>
        <v/>
      </c>
    </row>
    <row r="18" customFormat="false" ht="15" hidden="false" customHeight="false" outlineLevel="0" collapsed="false">
      <c r="A18" s="20" t="str">
        <f aca="false">IF(prices!A18="","",prices!A18)</f>
        <v/>
      </c>
      <c r="B18" s="18" t="str">
        <f aca="false">IF($A18="","",SUMPRODUCT(positions!B18:AJ18,prices!B18:AJ18))</f>
        <v/>
      </c>
      <c r="C18" s="18" t="str">
        <f aca="false">IF($A18="","",settings!$B$3-SUMIFS(transactions!$J$2:$J$501,transactions!$B$2:$B$501,"&lt;="&amp;$A18))</f>
        <v/>
      </c>
      <c r="D18" s="18" t="str">
        <f aca="false">IF($A18="","",B18+C18)</f>
        <v/>
      </c>
      <c r="E18" s="21" t="str">
        <f aca="false">IF($A18="","",D18/settings!$B$3*100)</f>
        <v/>
      </c>
      <c r="F18" s="22" t="str">
        <f aca="false">IF($A18="","",prices!AK18)</f>
        <v/>
      </c>
      <c r="G18" s="21" t="str">
        <f aca="false">IF($A18="","",F18/INDEX($F$2:$F$61,MATCH(settings!$B$2,$A$2:$A$61,0))*100)</f>
        <v/>
      </c>
      <c r="H18" s="23" t="str">
        <f aca="false">IF($A18="","",E18-G18)</f>
        <v/>
      </c>
      <c r="I18" s="24" t="str">
        <f aca="false">IF($A18="","",E18/MAX($E$2:E18)-1)</f>
        <v/>
      </c>
    </row>
    <row r="19" customFormat="false" ht="15" hidden="false" customHeight="false" outlineLevel="0" collapsed="false">
      <c r="A19" s="20" t="str">
        <f aca="false">IF(prices!A19="","",prices!A19)</f>
        <v/>
      </c>
      <c r="B19" s="18" t="str">
        <f aca="false">IF($A19="","",SUMPRODUCT(positions!B19:AJ19,prices!B19:AJ19))</f>
        <v/>
      </c>
      <c r="C19" s="18" t="str">
        <f aca="false">IF($A19="","",settings!$B$3-SUMIFS(transactions!$J$2:$J$501,transactions!$B$2:$B$501,"&lt;="&amp;$A19))</f>
        <v/>
      </c>
      <c r="D19" s="18" t="str">
        <f aca="false">IF($A19="","",B19+C19)</f>
        <v/>
      </c>
      <c r="E19" s="21" t="str">
        <f aca="false">IF($A19="","",D19/settings!$B$3*100)</f>
        <v/>
      </c>
      <c r="F19" s="22" t="str">
        <f aca="false">IF($A19="","",prices!AK19)</f>
        <v/>
      </c>
      <c r="G19" s="21" t="str">
        <f aca="false">IF($A19="","",F19/INDEX($F$2:$F$61,MATCH(settings!$B$2,$A$2:$A$61,0))*100)</f>
        <v/>
      </c>
      <c r="H19" s="23" t="str">
        <f aca="false">IF($A19="","",E19-G19)</f>
        <v/>
      </c>
      <c r="I19" s="24" t="str">
        <f aca="false">IF($A19="","",E19/MAX($E$2:E19)-1)</f>
        <v/>
      </c>
    </row>
    <row r="20" customFormat="false" ht="15" hidden="false" customHeight="false" outlineLevel="0" collapsed="false">
      <c r="A20" s="20" t="str">
        <f aca="false">IF(prices!A20="","",prices!A20)</f>
        <v/>
      </c>
      <c r="B20" s="18" t="str">
        <f aca="false">IF($A20="","",SUMPRODUCT(positions!B20:AJ20,prices!B20:AJ20))</f>
        <v/>
      </c>
      <c r="C20" s="18" t="str">
        <f aca="false">IF($A20="","",settings!$B$3-SUMIFS(transactions!$J$2:$J$501,transactions!$B$2:$B$501,"&lt;="&amp;$A20))</f>
        <v/>
      </c>
      <c r="D20" s="18" t="str">
        <f aca="false">IF($A20="","",B20+C20)</f>
        <v/>
      </c>
      <c r="E20" s="21" t="str">
        <f aca="false">IF($A20="","",D20/settings!$B$3*100)</f>
        <v/>
      </c>
      <c r="F20" s="22" t="str">
        <f aca="false">IF($A20="","",prices!AK20)</f>
        <v/>
      </c>
      <c r="G20" s="21" t="str">
        <f aca="false">IF($A20="","",F20/INDEX($F$2:$F$61,MATCH(settings!$B$2,$A$2:$A$61,0))*100)</f>
        <v/>
      </c>
      <c r="H20" s="23" t="str">
        <f aca="false">IF($A20="","",E20-G20)</f>
        <v/>
      </c>
      <c r="I20" s="24" t="str">
        <f aca="false">IF($A20="","",E20/MAX($E$2:E20)-1)</f>
        <v/>
      </c>
    </row>
    <row r="21" customFormat="false" ht="15" hidden="false" customHeight="false" outlineLevel="0" collapsed="false">
      <c r="A21" s="20" t="str">
        <f aca="false">IF(prices!A21="","",prices!A21)</f>
        <v/>
      </c>
      <c r="B21" s="18" t="str">
        <f aca="false">IF($A21="","",SUMPRODUCT(positions!B21:AJ21,prices!B21:AJ21))</f>
        <v/>
      </c>
      <c r="C21" s="18" t="str">
        <f aca="false">IF($A21="","",settings!$B$3-SUMIFS(transactions!$J$2:$J$501,transactions!$B$2:$B$501,"&lt;="&amp;$A21))</f>
        <v/>
      </c>
      <c r="D21" s="18" t="str">
        <f aca="false">IF($A21="","",B21+C21)</f>
        <v/>
      </c>
      <c r="E21" s="21" t="str">
        <f aca="false">IF($A21="","",D21/settings!$B$3*100)</f>
        <v/>
      </c>
      <c r="F21" s="22" t="str">
        <f aca="false">IF($A21="","",prices!AK21)</f>
        <v/>
      </c>
      <c r="G21" s="21" t="str">
        <f aca="false">IF($A21="","",F21/INDEX($F$2:$F$61,MATCH(settings!$B$2,$A$2:$A$61,0))*100)</f>
        <v/>
      </c>
      <c r="H21" s="23" t="str">
        <f aca="false">IF($A21="","",E21-G21)</f>
        <v/>
      </c>
      <c r="I21" s="24" t="str">
        <f aca="false">IF($A21="","",E21/MAX($E$2:E21)-1)</f>
        <v/>
      </c>
    </row>
    <row r="22" customFormat="false" ht="15" hidden="false" customHeight="false" outlineLevel="0" collapsed="false">
      <c r="A22" s="20" t="str">
        <f aca="false">IF(prices!A22="","",prices!A22)</f>
        <v/>
      </c>
      <c r="B22" s="18" t="str">
        <f aca="false">IF($A22="","",SUMPRODUCT(positions!B22:AJ22,prices!B22:AJ22))</f>
        <v/>
      </c>
      <c r="C22" s="18" t="str">
        <f aca="false">IF($A22="","",settings!$B$3-SUMIFS(transactions!$J$2:$J$501,transactions!$B$2:$B$501,"&lt;="&amp;$A22))</f>
        <v/>
      </c>
      <c r="D22" s="18" t="str">
        <f aca="false">IF($A22="","",B22+C22)</f>
        <v/>
      </c>
      <c r="E22" s="21" t="str">
        <f aca="false">IF($A22="","",D22/settings!$B$3*100)</f>
        <v/>
      </c>
      <c r="F22" s="22" t="str">
        <f aca="false">IF($A22="","",prices!AK22)</f>
        <v/>
      </c>
      <c r="G22" s="21" t="str">
        <f aca="false">IF($A22="","",F22/INDEX($F$2:$F$61,MATCH(settings!$B$2,$A$2:$A$61,0))*100)</f>
        <v/>
      </c>
      <c r="H22" s="23" t="str">
        <f aca="false">IF($A22="","",E22-G22)</f>
        <v/>
      </c>
      <c r="I22" s="24" t="str">
        <f aca="false">IF($A22="","",E22/MAX($E$2:E22)-1)</f>
        <v/>
      </c>
    </row>
    <row r="23" customFormat="false" ht="15" hidden="false" customHeight="false" outlineLevel="0" collapsed="false">
      <c r="A23" s="20" t="str">
        <f aca="false">IF(prices!A23="","",prices!A23)</f>
        <v/>
      </c>
      <c r="B23" s="18" t="str">
        <f aca="false">IF($A23="","",SUMPRODUCT(positions!B23:AJ23,prices!B23:AJ23))</f>
        <v/>
      </c>
      <c r="C23" s="18" t="str">
        <f aca="false">IF($A23="","",settings!$B$3-SUMIFS(transactions!$J$2:$J$501,transactions!$B$2:$B$501,"&lt;="&amp;$A23))</f>
        <v/>
      </c>
      <c r="D23" s="18" t="str">
        <f aca="false">IF($A23="","",B23+C23)</f>
        <v/>
      </c>
      <c r="E23" s="21" t="str">
        <f aca="false">IF($A23="","",D23/settings!$B$3*100)</f>
        <v/>
      </c>
      <c r="F23" s="22" t="str">
        <f aca="false">IF($A23="","",prices!AK23)</f>
        <v/>
      </c>
      <c r="G23" s="21" t="str">
        <f aca="false">IF($A23="","",F23/INDEX($F$2:$F$61,MATCH(settings!$B$2,$A$2:$A$61,0))*100)</f>
        <v/>
      </c>
      <c r="H23" s="23" t="str">
        <f aca="false">IF($A23="","",E23-G23)</f>
        <v/>
      </c>
      <c r="I23" s="24" t="str">
        <f aca="false">IF($A23="","",E23/MAX($E$2:E23)-1)</f>
        <v/>
      </c>
    </row>
    <row r="24" customFormat="false" ht="15" hidden="false" customHeight="false" outlineLevel="0" collapsed="false">
      <c r="A24" s="20" t="str">
        <f aca="false">IF(prices!A24="","",prices!A24)</f>
        <v/>
      </c>
      <c r="B24" s="18" t="str">
        <f aca="false">IF($A24="","",SUMPRODUCT(positions!B24:AJ24,prices!B24:AJ24))</f>
        <v/>
      </c>
      <c r="C24" s="18" t="str">
        <f aca="false">IF($A24="","",settings!$B$3-SUMIFS(transactions!$J$2:$J$501,transactions!$B$2:$B$501,"&lt;="&amp;$A24))</f>
        <v/>
      </c>
      <c r="D24" s="18" t="str">
        <f aca="false">IF($A24="","",B24+C24)</f>
        <v/>
      </c>
      <c r="E24" s="21" t="str">
        <f aca="false">IF($A24="","",D24/settings!$B$3*100)</f>
        <v/>
      </c>
      <c r="F24" s="22" t="str">
        <f aca="false">IF($A24="","",prices!AK24)</f>
        <v/>
      </c>
      <c r="G24" s="21" t="str">
        <f aca="false">IF($A24="","",F24/INDEX($F$2:$F$61,MATCH(settings!$B$2,$A$2:$A$61,0))*100)</f>
        <v/>
      </c>
      <c r="H24" s="23" t="str">
        <f aca="false">IF($A24="","",E24-G24)</f>
        <v/>
      </c>
      <c r="I24" s="24" t="str">
        <f aca="false">IF($A24="","",E24/MAX($E$2:E24)-1)</f>
        <v/>
      </c>
    </row>
    <row r="25" customFormat="false" ht="15" hidden="false" customHeight="false" outlineLevel="0" collapsed="false">
      <c r="A25" s="20" t="str">
        <f aca="false">IF(prices!A25="","",prices!A25)</f>
        <v/>
      </c>
      <c r="B25" s="18" t="str">
        <f aca="false">IF($A25="","",SUMPRODUCT(positions!B25:AJ25,prices!B25:AJ25))</f>
        <v/>
      </c>
      <c r="C25" s="18" t="str">
        <f aca="false">IF($A25="","",settings!$B$3-SUMIFS(transactions!$J$2:$J$501,transactions!$B$2:$B$501,"&lt;="&amp;$A25))</f>
        <v/>
      </c>
      <c r="D25" s="18" t="str">
        <f aca="false">IF($A25="","",B25+C25)</f>
        <v/>
      </c>
      <c r="E25" s="21" t="str">
        <f aca="false">IF($A25="","",D25/settings!$B$3*100)</f>
        <v/>
      </c>
      <c r="F25" s="22" t="str">
        <f aca="false">IF($A25="","",prices!AK25)</f>
        <v/>
      </c>
      <c r="G25" s="21" t="str">
        <f aca="false">IF($A25="","",F25/INDEX($F$2:$F$61,MATCH(settings!$B$2,$A$2:$A$61,0))*100)</f>
        <v/>
      </c>
      <c r="H25" s="23" t="str">
        <f aca="false">IF($A25="","",E25-G25)</f>
        <v/>
      </c>
      <c r="I25" s="24" t="str">
        <f aca="false">IF($A25="","",E25/MAX($E$2:E25)-1)</f>
        <v/>
      </c>
    </row>
    <row r="26" customFormat="false" ht="15" hidden="false" customHeight="false" outlineLevel="0" collapsed="false">
      <c r="A26" s="20" t="str">
        <f aca="false">IF(prices!A26="","",prices!A26)</f>
        <v/>
      </c>
      <c r="B26" s="18" t="str">
        <f aca="false">IF($A26="","",SUMPRODUCT(positions!B26:AJ26,prices!B26:AJ26))</f>
        <v/>
      </c>
      <c r="C26" s="18" t="str">
        <f aca="false">IF($A26="","",settings!$B$3-SUMIFS(transactions!$J$2:$J$501,transactions!$B$2:$B$501,"&lt;="&amp;$A26))</f>
        <v/>
      </c>
      <c r="D26" s="18" t="str">
        <f aca="false">IF($A26="","",B26+C26)</f>
        <v/>
      </c>
      <c r="E26" s="21" t="str">
        <f aca="false">IF($A26="","",D26/settings!$B$3*100)</f>
        <v/>
      </c>
      <c r="F26" s="22" t="str">
        <f aca="false">IF($A26="","",prices!AK26)</f>
        <v/>
      </c>
      <c r="G26" s="21" t="str">
        <f aca="false">IF($A26="","",F26/INDEX($F$2:$F$61,MATCH(settings!$B$2,$A$2:$A$61,0))*100)</f>
        <v/>
      </c>
      <c r="H26" s="23" t="str">
        <f aca="false">IF($A26="","",E26-G26)</f>
        <v/>
      </c>
      <c r="I26" s="24" t="str">
        <f aca="false">IF($A26="","",E26/MAX($E$2:E26)-1)</f>
        <v/>
      </c>
    </row>
    <row r="27" customFormat="false" ht="15" hidden="false" customHeight="false" outlineLevel="0" collapsed="false">
      <c r="A27" s="20" t="str">
        <f aca="false">IF(prices!A27="","",prices!A27)</f>
        <v/>
      </c>
      <c r="B27" s="18" t="str">
        <f aca="false">IF($A27="","",SUMPRODUCT(positions!B27:AJ27,prices!B27:AJ27))</f>
        <v/>
      </c>
      <c r="C27" s="18" t="str">
        <f aca="false">IF($A27="","",settings!$B$3-SUMIFS(transactions!$J$2:$J$501,transactions!$B$2:$B$501,"&lt;="&amp;$A27))</f>
        <v/>
      </c>
      <c r="D27" s="18" t="str">
        <f aca="false">IF($A27="","",B27+C27)</f>
        <v/>
      </c>
      <c r="E27" s="21" t="str">
        <f aca="false">IF($A27="","",D27/settings!$B$3*100)</f>
        <v/>
      </c>
      <c r="F27" s="22" t="str">
        <f aca="false">IF($A27="","",prices!AK27)</f>
        <v/>
      </c>
      <c r="G27" s="21" t="str">
        <f aca="false">IF($A27="","",F27/INDEX($F$2:$F$61,MATCH(settings!$B$2,$A$2:$A$61,0))*100)</f>
        <v/>
      </c>
      <c r="H27" s="23" t="str">
        <f aca="false">IF($A27="","",E27-G27)</f>
        <v/>
      </c>
      <c r="I27" s="24" t="str">
        <f aca="false">IF($A27="","",E27/MAX($E$2:E27)-1)</f>
        <v/>
      </c>
    </row>
    <row r="28" customFormat="false" ht="15" hidden="false" customHeight="false" outlineLevel="0" collapsed="false">
      <c r="A28" s="20" t="str">
        <f aca="false">IF(prices!A28="","",prices!A28)</f>
        <v/>
      </c>
      <c r="B28" s="18" t="str">
        <f aca="false">IF($A28="","",SUMPRODUCT(positions!B28:AJ28,prices!B28:AJ28))</f>
        <v/>
      </c>
      <c r="C28" s="18" t="str">
        <f aca="false">IF($A28="","",settings!$B$3-SUMIFS(transactions!$J$2:$J$501,transactions!$B$2:$B$501,"&lt;="&amp;$A28))</f>
        <v/>
      </c>
      <c r="D28" s="18" t="str">
        <f aca="false">IF($A28="","",B28+C28)</f>
        <v/>
      </c>
      <c r="E28" s="21" t="str">
        <f aca="false">IF($A28="","",D28/settings!$B$3*100)</f>
        <v/>
      </c>
      <c r="F28" s="22" t="str">
        <f aca="false">IF($A28="","",prices!AK28)</f>
        <v/>
      </c>
      <c r="G28" s="21" t="str">
        <f aca="false">IF($A28="","",F28/INDEX($F$2:$F$61,MATCH(settings!$B$2,$A$2:$A$61,0))*100)</f>
        <v/>
      </c>
      <c r="H28" s="23" t="str">
        <f aca="false">IF($A28="","",E28-G28)</f>
        <v/>
      </c>
      <c r="I28" s="24" t="str">
        <f aca="false">IF($A28="","",E28/MAX($E$2:E28)-1)</f>
        <v/>
      </c>
    </row>
    <row r="29" customFormat="false" ht="15" hidden="false" customHeight="false" outlineLevel="0" collapsed="false">
      <c r="A29" s="20" t="str">
        <f aca="false">IF(prices!A29="","",prices!A29)</f>
        <v/>
      </c>
      <c r="B29" s="18" t="str">
        <f aca="false">IF($A29="","",SUMPRODUCT(positions!B29:AJ29,prices!B29:AJ29))</f>
        <v/>
      </c>
      <c r="C29" s="18" t="str">
        <f aca="false">IF($A29="","",settings!$B$3-SUMIFS(transactions!$J$2:$J$501,transactions!$B$2:$B$501,"&lt;="&amp;$A29))</f>
        <v/>
      </c>
      <c r="D29" s="18" t="str">
        <f aca="false">IF($A29="","",B29+C29)</f>
        <v/>
      </c>
      <c r="E29" s="21" t="str">
        <f aca="false">IF($A29="","",D29/settings!$B$3*100)</f>
        <v/>
      </c>
      <c r="F29" s="22" t="str">
        <f aca="false">IF($A29="","",prices!AK29)</f>
        <v/>
      </c>
      <c r="G29" s="21" t="str">
        <f aca="false">IF($A29="","",F29/INDEX($F$2:$F$61,MATCH(settings!$B$2,$A$2:$A$61,0))*100)</f>
        <v/>
      </c>
      <c r="H29" s="23" t="str">
        <f aca="false">IF($A29="","",E29-G29)</f>
        <v/>
      </c>
      <c r="I29" s="24" t="str">
        <f aca="false">IF($A29="","",E29/MAX($E$2:E29)-1)</f>
        <v/>
      </c>
    </row>
    <row r="30" customFormat="false" ht="15" hidden="false" customHeight="false" outlineLevel="0" collapsed="false">
      <c r="A30" s="20" t="str">
        <f aca="false">IF(prices!A30="","",prices!A30)</f>
        <v/>
      </c>
      <c r="B30" s="18" t="str">
        <f aca="false">IF($A30="","",SUMPRODUCT(positions!B30:AJ30,prices!B30:AJ30))</f>
        <v/>
      </c>
      <c r="C30" s="18" t="str">
        <f aca="false">IF($A30="","",settings!$B$3-SUMIFS(transactions!$J$2:$J$501,transactions!$B$2:$B$501,"&lt;="&amp;$A30))</f>
        <v/>
      </c>
      <c r="D30" s="18" t="str">
        <f aca="false">IF($A30="","",B30+C30)</f>
        <v/>
      </c>
      <c r="E30" s="21" t="str">
        <f aca="false">IF($A30="","",D30/settings!$B$3*100)</f>
        <v/>
      </c>
      <c r="F30" s="22" t="str">
        <f aca="false">IF($A30="","",prices!AK30)</f>
        <v/>
      </c>
      <c r="G30" s="21" t="str">
        <f aca="false">IF($A30="","",F30/INDEX($F$2:$F$61,MATCH(settings!$B$2,$A$2:$A$61,0))*100)</f>
        <v/>
      </c>
      <c r="H30" s="23" t="str">
        <f aca="false">IF($A30="","",E30-G30)</f>
        <v/>
      </c>
      <c r="I30" s="24" t="str">
        <f aca="false">IF($A30="","",E30/MAX($E$2:E30)-1)</f>
        <v/>
      </c>
    </row>
    <row r="31" customFormat="false" ht="15" hidden="false" customHeight="false" outlineLevel="0" collapsed="false">
      <c r="A31" s="20" t="str">
        <f aca="false">IF(prices!A31="","",prices!A31)</f>
        <v/>
      </c>
      <c r="B31" s="18" t="str">
        <f aca="false">IF($A31="","",SUMPRODUCT(positions!B31:AJ31,prices!B31:AJ31))</f>
        <v/>
      </c>
      <c r="C31" s="18" t="str">
        <f aca="false">IF($A31="","",settings!$B$3-SUMIFS(transactions!$J$2:$J$501,transactions!$B$2:$B$501,"&lt;="&amp;$A31))</f>
        <v/>
      </c>
      <c r="D31" s="18" t="str">
        <f aca="false">IF($A31="","",B31+C31)</f>
        <v/>
      </c>
      <c r="E31" s="21" t="str">
        <f aca="false">IF($A31="","",D31/settings!$B$3*100)</f>
        <v/>
      </c>
      <c r="F31" s="22" t="str">
        <f aca="false">IF($A31="","",prices!AK31)</f>
        <v/>
      </c>
      <c r="G31" s="21" t="str">
        <f aca="false">IF($A31="","",F31/INDEX($F$2:$F$61,MATCH(settings!$B$2,$A$2:$A$61,0))*100)</f>
        <v/>
      </c>
      <c r="H31" s="23" t="str">
        <f aca="false">IF($A31="","",E31-G31)</f>
        <v/>
      </c>
      <c r="I31" s="24" t="str">
        <f aca="false">IF($A31="","",E31/MAX($E$2:E31)-1)</f>
        <v/>
      </c>
    </row>
    <row r="32" customFormat="false" ht="15" hidden="false" customHeight="false" outlineLevel="0" collapsed="false">
      <c r="A32" s="20" t="str">
        <f aca="false">IF(prices!A32="","",prices!A32)</f>
        <v/>
      </c>
      <c r="B32" s="18" t="str">
        <f aca="false">IF($A32="","",SUMPRODUCT(positions!B32:AJ32,prices!B32:AJ32))</f>
        <v/>
      </c>
      <c r="C32" s="18" t="str">
        <f aca="false">IF($A32="","",settings!$B$3-SUMIFS(transactions!$J$2:$J$501,transactions!$B$2:$B$501,"&lt;="&amp;$A32))</f>
        <v/>
      </c>
      <c r="D32" s="18" t="str">
        <f aca="false">IF($A32="","",B32+C32)</f>
        <v/>
      </c>
      <c r="E32" s="21" t="str">
        <f aca="false">IF($A32="","",D32/settings!$B$3*100)</f>
        <v/>
      </c>
      <c r="F32" s="22" t="str">
        <f aca="false">IF($A32="","",prices!AK32)</f>
        <v/>
      </c>
      <c r="G32" s="21" t="str">
        <f aca="false">IF($A32="","",F32/INDEX($F$2:$F$61,MATCH(settings!$B$2,$A$2:$A$61,0))*100)</f>
        <v/>
      </c>
      <c r="H32" s="23" t="str">
        <f aca="false">IF($A32="","",E32-G32)</f>
        <v/>
      </c>
      <c r="I32" s="24" t="str">
        <f aca="false">IF($A32="","",E32/MAX($E$2:E32)-1)</f>
        <v/>
      </c>
    </row>
    <row r="33" customFormat="false" ht="15" hidden="false" customHeight="false" outlineLevel="0" collapsed="false">
      <c r="A33" s="20" t="str">
        <f aca="false">IF(prices!A33="","",prices!A33)</f>
        <v/>
      </c>
      <c r="B33" s="18" t="str">
        <f aca="false">IF($A33="","",SUMPRODUCT(positions!B33:AJ33,prices!B33:AJ33))</f>
        <v/>
      </c>
      <c r="C33" s="18" t="str">
        <f aca="false">IF($A33="","",settings!$B$3-SUMIFS(transactions!$J$2:$J$501,transactions!$B$2:$B$501,"&lt;="&amp;$A33))</f>
        <v/>
      </c>
      <c r="D33" s="18" t="str">
        <f aca="false">IF($A33="","",B33+C33)</f>
        <v/>
      </c>
      <c r="E33" s="21" t="str">
        <f aca="false">IF($A33="","",D33/settings!$B$3*100)</f>
        <v/>
      </c>
      <c r="F33" s="22" t="str">
        <f aca="false">IF($A33="","",prices!AK33)</f>
        <v/>
      </c>
      <c r="G33" s="21" t="str">
        <f aca="false">IF($A33="","",F33/INDEX($F$2:$F$61,MATCH(settings!$B$2,$A$2:$A$61,0))*100)</f>
        <v/>
      </c>
      <c r="H33" s="23" t="str">
        <f aca="false">IF($A33="","",E33-G33)</f>
        <v/>
      </c>
      <c r="I33" s="24" t="str">
        <f aca="false">IF($A33="","",E33/MAX($E$2:E33)-1)</f>
        <v/>
      </c>
    </row>
    <row r="34" customFormat="false" ht="15" hidden="false" customHeight="false" outlineLevel="0" collapsed="false">
      <c r="A34" s="20" t="str">
        <f aca="false">IF(prices!A34="","",prices!A34)</f>
        <v/>
      </c>
      <c r="B34" s="18" t="str">
        <f aca="false">IF($A34="","",SUMPRODUCT(positions!B34:AJ34,prices!B34:AJ34))</f>
        <v/>
      </c>
      <c r="C34" s="18" t="str">
        <f aca="false">IF($A34="","",settings!$B$3-SUMIFS(transactions!$J$2:$J$501,transactions!$B$2:$B$501,"&lt;="&amp;$A34))</f>
        <v/>
      </c>
      <c r="D34" s="18" t="str">
        <f aca="false">IF($A34="","",B34+C34)</f>
        <v/>
      </c>
      <c r="E34" s="21" t="str">
        <f aca="false">IF($A34="","",D34/settings!$B$3*100)</f>
        <v/>
      </c>
      <c r="F34" s="22" t="str">
        <f aca="false">IF($A34="","",prices!AK34)</f>
        <v/>
      </c>
      <c r="G34" s="21" t="str">
        <f aca="false">IF($A34="","",F34/INDEX($F$2:$F$61,MATCH(settings!$B$2,$A$2:$A$61,0))*100)</f>
        <v/>
      </c>
      <c r="H34" s="23" t="str">
        <f aca="false">IF($A34="","",E34-G34)</f>
        <v/>
      </c>
      <c r="I34" s="24" t="str">
        <f aca="false">IF($A34="","",E34/MAX($E$2:E34)-1)</f>
        <v/>
      </c>
    </row>
    <row r="35" customFormat="false" ht="15" hidden="false" customHeight="false" outlineLevel="0" collapsed="false">
      <c r="A35" s="20" t="str">
        <f aca="false">IF(prices!A35="","",prices!A35)</f>
        <v/>
      </c>
      <c r="B35" s="18" t="str">
        <f aca="false">IF($A35="","",SUMPRODUCT(positions!B35:AJ35,prices!B35:AJ35))</f>
        <v/>
      </c>
      <c r="C35" s="18" t="str">
        <f aca="false">IF($A35="","",settings!$B$3-SUMIFS(transactions!$J$2:$J$501,transactions!$B$2:$B$501,"&lt;="&amp;$A35))</f>
        <v/>
      </c>
      <c r="D35" s="18" t="str">
        <f aca="false">IF($A35="","",B35+C35)</f>
        <v/>
      </c>
      <c r="E35" s="21" t="str">
        <f aca="false">IF($A35="","",D35/settings!$B$3*100)</f>
        <v/>
      </c>
      <c r="F35" s="22" t="str">
        <f aca="false">IF($A35="","",prices!AK35)</f>
        <v/>
      </c>
      <c r="G35" s="21" t="str">
        <f aca="false">IF($A35="","",F35/INDEX($F$2:$F$61,MATCH(settings!$B$2,$A$2:$A$61,0))*100)</f>
        <v/>
      </c>
      <c r="H35" s="23" t="str">
        <f aca="false">IF($A35="","",E35-G35)</f>
        <v/>
      </c>
      <c r="I35" s="24" t="str">
        <f aca="false">IF($A35="","",E35/MAX($E$2:E35)-1)</f>
        <v/>
      </c>
    </row>
    <row r="36" customFormat="false" ht="15" hidden="false" customHeight="false" outlineLevel="0" collapsed="false">
      <c r="A36" s="20" t="str">
        <f aca="false">IF(prices!A36="","",prices!A36)</f>
        <v/>
      </c>
      <c r="B36" s="18" t="str">
        <f aca="false">IF($A36="","",SUMPRODUCT(positions!B36:AJ36,prices!B36:AJ36))</f>
        <v/>
      </c>
      <c r="C36" s="18" t="str">
        <f aca="false">IF($A36="","",settings!$B$3-SUMIFS(transactions!$J$2:$J$501,transactions!$B$2:$B$501,"&lt;="&amp;$A36))</f>
        <v/>
      </c>
      <c r="D36" s="18" t="str">
        <f aca="false">IF($A36="","",B36+C36)</f>
        <v/>
      </c>
      <c r="E36" s="21" t="str">
        <f aca="false">IF($A36="","",D36/settings!$B$3*100)</f>
        <v/>
      </c>
      <c r="F36" s="22" t="str">
        <f aca="false">IF($A36="","",prices!AK36)</f>
        <v/>
      </c>
      <c r="G36" s="21" t="str">
        <f aca="false">IF($A36="","",F36/INDEX($F$2:$F$61,MATCH(settings!$B$2,$A$2:$A$61,0))*100)</f>
        <v/>
      </c>
      <c r="H36" s="23" t="str">
        <f aca="false">IF($A36="","",E36-G36)</f>
        <v/>
      </c>
      <c r="I36" s="24" t="str">
        <f aca="false">IF($A36="","",E36/MAX($E$2:E36)-1)</f>
        <v/>
      </c>
    </row>
    <row r="37" customFormat="false" ht="15" hidden="false" customHeight="false" outlineLevel="0" collapsed="false">
      <c r="A37" s="20" t="str">
        <f aca="false">IF(prices!A37="","",prices!A37)</f>
        <v/>
      </c>
      <c r="B37" s="18" t="str">
        <f aca="false">IF($A37="","",SUMPRODUCT(positions!B37:AJ37,prices!B37:AJ37))</f>
        <v/>
      </c>
      <c r="C37" s="18" t="str">
        <f aca="false">IF($A37="","",settings!$B$3-SUMIFS(transactions!$J$2:$J$501,transactions!$B$2:$B$501,"&lt;="&amp;$A37))</f>
        <v/>
      </c>
      <c r="D37" s="18" t="str">
        <f aca="false">IF($A37="","",B37+C37)</f>
        <v/>
      </c>
      <c r="E37" s="21" t="str">
        <f aca="false">IF($A37="","",D37/settings!$B$3*100)</f>
        <v/>
      </c>
      <c r="F37" s="22" t="str">
        <f aca="false">IF($A37="","",prices!AK37)</f>
        <v/>
      </c>
      <c r="G37" s="21" t="str">
        <f aca="false">IF($A37="","",F37/INDEX($F$2:$F$61,MATCH(settings!$B$2,$A$2:$A$61,0))*100)</f>
        <v/>
      </c>
      <c r="H37" s="23" t="str">
        <f aca="false">IF($A37="","",E37-G37)</f>
        <v/>
      </c>
      <c r="I37" s="24" t="str">
        <f aca="false">IF($A37="","",E37/MAX($E$2:E37)-1)</f>
        <v/>
      </c>
    </row>
    <row r="38" customFormat="false" ht="15" hidden="false" customHeight="false" outlineLevel="0" collapsed="false">
      <c r="A38" s="20" t="str">
        <f aca="false">IF(prices!A38="","",prices!A38)</f>
        <v/>
      </c>
      <c r="B38" s="18" t="str">
        <f aca="false">IF($A38="","",SUMPRODUCT(positions!B38:AJ38,prices!B38:AJ38))</f>
        <v/>
      </c>
      <c r="C38" s="18" t="str">
        <f aca="false">IF($A38="","",settings!$B$3-SUMIFS(transactions!$J$2:$J$501,transactions!$B$2:$B$501,"&lt;="&amp;$A38))</f>
        <v/>
      </c>
      <c r="D38" s="18" t="str">
        <f aca="false">IF($A38="","",B38+C38)</f>
        <v/>
      </c>
      <c r="E38" s="21" t="str">
        <f aca="false">IF($A38="","",D38/settings!$B$3*100)</f>
        <v/>
      </c>
      <c r="F38" s="22" t="str">
        <f aca="false">IF($A38="","",prices!AK38)</f>
        <v/>
      </c>
      <c r="G38" s="21" t="str">
        <f aca="false">IF($A38="","",F38/INDEX($F$2:$F$61,MATCH(settings!$B$2,$A$2:$A$61,0))*100)</f>
        <v/>
      </c>
      <c r="H38" s="23" t="str">
        <f aca="false">IF($A38="","",E38-G38)</f>
        <v/>
      </c>
      <c r="I38" s="24" t="str">
        <f aca="false">IF($A38="","",E38/MAX($E$2:E38)-1)</f>
        <v/>
      </c>
    </row>
    <row r="39" customFormat="false" ht="15" hidden="false" customHeight="false" outlineLevel="0" collapsed="false">
      <c r="A39" s="20" t="str">
        <f aca="false">IF(prices!A39="","",prices!A39)</f>
        <v/>
      </c>
      <c r="B39" s="18" t="str">
        <f aca="false">IF($A39="","",SUMPRODUCT(positions!B39:AJ39,prices!B39:AJ39))</f>
        <v/>
      </c>
      <c r="C39" s="18" t="str">
        <f aca="false">IF($A39="","",settings!$B$3-SUMIFS(transactions!$J$2:$J$501,transactions!$B$2:$B$501,"&lt;="&amp;$A39))</f>
        <v/>
      </c>
      <c r="D39" s="18" t="str">
        <f aca="false">IF($A39="","",B39+C39)</f>
        <v/>
      </c>
      <c r="E39" s="21" t="str">
        <f aca="false">IF($A39="","",D39/settings!$B$3*100)</f>
        <v/>
      </c>
      <c r="F39" s="22" t="str">
        <f aca="false">IF($A39="","",prices!AK39)</f>
        <v/>
      </c>
      <c r="G39" s="21" t="str">
        <f aca="false">IF($A39="","",F39/INDEX($F$2:$F$61,MATCH(settings!$B$2,$A$2:$A$61,0))*100)</f>
        <v/>
      </c>
      <c r="H39" s="23" t="str">
        <f aca="false">IF($A39="","",E39-G39)</f>
        <v/>
      </c>
      <c r="I39" s="24" t="str">
        <f aca="false">IF($A39="","",E39/MAX($E$2:E39)-1)</f>
        <v/>
      </c>
    </row>
    <row r="40" customFormat="false" ht="15" hidden="false" customHeight="false" outlineLevel="0" collapsed="false">
      <c r="A40" s="20" t="str">
        <f aca="false">IF(prices!A40="","",prices!A40)</f>
        <v/>
      </c>
      <c r="B40" s="18" t="str">
        <f aca="false">IF($A40="","",SUMPRODUCT(positions!B40:AJ40,prices!B40:AJ40))</f>
        <v/>
      </c>
      <c r="C40" s="18" t="str">
        <f aca="false">IF($A40="","",settings!$B$3-SUMIFS(transactions!$J$2:$J$501,transactions!$B$2:$B$501,"&lt;="&amp;$A40))</f>
        <v/>
      </c>
      <c r="D40" s="18" t="str">
        <f aca="false">IF($A40="","",B40+C40)</f>
        <v/>
      </c>
      <c r="E40" s="21" t="str">
        <f aca="false">IF($A40="","",D40/settings!$B$3*100)</f>
        <v/>
      </c>
      <c r="F40" s="22" t="str">
        <f aca="false">IF($A40="","",prices!AK40)</f>
        <v/>
      </c>
      <c r="G40" s="21" t="str">
        <f aca="false">IF($A40="","",F40/INDEX($F$2:$F$61,MATCH(settings!$B$2,$A$2:$A$61,0))*100)</f>
        <v/>
      </c>
      <c r="H40" s="23" t="str">
        <f aca="false">IF($A40="","",E40-G40)</f>
        <v/>
      </c>
      <c r="I40" s="24" t="str">
        <f aca="false">IF($A40="","",E40/MAX($E$2:E40)-1)</f>
        <v/>
      </c>
    </row>
    <row r="41" customFormat="false" ht="15" hidden="false" customHeight="false" outlineLevel="0" collapsed="false">
      <c r="A41" s="20" t="str">
        <f aca="false">IF(prices!A41="","",prices!A41)</f>
        <v/>
      </c>
      <c r="B41" s="18" t="str">
        <f aca="false">IF($A41="","",SUMPRODUCT(positions!B41:AJ41,prices!B41:AJ41))</f>
        <v/>
      </c>
      <c r="C41" s="18" t="str">
        <f aca="false">IF($A41="","",settings!$B$3-SUMIFS(transactions!$J$2:$J$501,transactions!$B$2:$B$501,"&lt;="&amp;$A41))</f>
        <v/>
      </c>
      <c r="D41" s="18" t="str">
        <f aca="false">IF($A41="","",B41+C41)</f>
        <v/>
      </c>
      <c r="E41" s="21" t="str">
        <f aca="false">IF($A41="","",D41/settings!$B$3*100)</f>
        <v/>
      </c>
      <c r="F41" s="22" t="str">
        <f aca="false">IF($A41="","",prices!AK41)</f>
        <v/>
      </c>
      <c r="G41" s="21" t="str">
        <f aca="false">IF($A41="","",F41/INDEX($F$2:$F$61,MATCH(settings!$B$2,$A$2:$A$61,0))*100)</f>
        <v/>
      </c>
      <c r="H41" s="23" t="str">
        <f aca="false">IF($A41="","",E41-G41)</f>
        <v/>
      </c>
      <c r="I41" s="24" t="str">
        <f aca="false">IF($A41="","",E41/MAX($E$2:E41)-1)</f>
        <v/>
      </c>
    </row>
    <row r="42" customFormat="false" ht="15" hidden="false" customHeight="false" outlineLevel="0" collapsed="false">
      <c r="A42" s="20" t="str">
        <f aca="false">IF(prices!A42="","",prices!A42)</f>
        <v/>
      </c>
      <c r="B42" s="18" t="str">
        <f aca="false">IF($A42="","",SUMPRODUCT(positions!B42:AJ42,prices!B42:AJ42))</f>
        <v/>
      </c>
      <c r="C42" s="18" t="str">
        <f aca="false">IF($A42="","",settings!$B$3-SUMIFS(transactions!$J$2:$J$501,transactions!$B$2:$B$501,"&lt;="&amp;$A42))</f>
        <v/>
      </c>
      <c r="D42" s="18" t="str">
        <f aca="false">IF($A42="","",B42+C42)</f>
        <v/>
      </c>
      <c r="E42" s="21" t="str">
        <f aca="false">IF($A42="","",D42/settings!$B$3*100)</f>
        <v/>
      </c>
      <c r="F42" s="22" t="str">
        <f aca="false">IF($A42="","",prices!AK42)</f>
        <v/>
      </c>
      <c r="G42" s="21" t="str">
        <f aca="false">IF($A42="","",F42/INDEX($F$2:$F$61,MATCH(settings!$B$2,$A$2:$A$61,0))*100)</f>
        <v/>
      </c>
      <c r="H42" s="23" t="str">
        <f aca="false">IF($A42="","",E42-G42)</f>
        <v/>
      </c>
      <c r="I42" s="24" t="str">
        <f aca="false">IF($A42="","",E42/MAX($E$2:E42)-1)</f>
        <v/>
      </c>
    </row>
    <row r="43" customFormat="false" ht="15" hidden="false" customHeight="false" outlineLevel="0" collapsed="false">
      <c r="A43" s="20" t="str">
        <f aca="false">IF(prices!A43="","",prices!A43)</f>
        <v/>
      </c>
      <c r="B43" s="18" t="str">
        <f aca="false">IF($A43="","",SUMPRODUCT(positions!B43:AJ43,prices!B43:AJ43))</f>
        <v/>
      </c>
      <c r="C43" s="18" t="str">
        <f aca="false">IF($A43="","",settings!$B$3-SUMIFS(transactions!$J$2:$J$501,transactions!$B$2:$B$501,"&lt;="&amp;$A43))</f>
        <v/>
      </c>
      <c r="D43" s="18" t="str">
        <f aca="false">IF($A43="","",B43+C43)</f>
        <v/>
      </c>
      <c r="E43" s="21" t="str">
        <f aca="false">IF($A43="","",D43/settings!$B$3*100)</f>
        <v/>
      </c>
      <c r="F43" s="22" t="str">
        <f aca="false">IF($A43="","",prices!AK43)</f>
        <v/>
      </c>
      <c r="G43" s="21" t="str">
        <f aca="false">IF($A43="","",F43/INDEX($F$2:$F$61,MATCH(settings!$B$2,$A$2:$A$61,0))*100)</f>
        <v/>
      </c>
      <c r="H43" s="23" t="str">
        <f aca="false">IF($A43="","",E43-G43)</f>
        <v/>
      </c>
      <c r="I43" s="24" t="str">
        <f aca="false">IF($A43="","",E43/MAX($E$2:E43)-1)</f>
        <v/>
      </c>
    </row>
    <row r="44" customFormat="false" ht="15" hidden="false" customHeight="false" outlineLevel="0" collapsed="false">
      <c r="A44" s="20" t="str">
        <f aca="false">IF(prices!A44="","",prices!A44)</f>
        <v/>
      </c>
      <c r="B44" s="18" t="str">
        <f aca="false">IF($A44="","",SUMPRODUCT(positions!B44:AJ44,prices!B44:AJ44))</f>
        <v/>
      </c>
      <c r="C44" s="18" t="str">
        <f aca="false">IF($A44="","",settings!$B$3-SUMIFS(transactions!$J$2:$J$501,transactions!$B$2:$B$501,"&lt;="&amp;$A44))</f>
        <v/>
      </c>
      <c r="D44" s="18" t="str">
        <f aca="false">IF($A44="","",B44+C44)</f>
        <v/>
      </c>
      <c r="E44" s="21" t="str">
        <f aca="false">IF($A44="","",D44/settings!$B$3*100)</f>
        <v/>
      </c>
      <c r="F44" s="22" t="str">
        <f aca="false">IF($A44="","",prices!AK44)</f>
        <v/>
      </c>
      <c r="G44" s="21" t="str">
        <f aca="false">IF($A44="","",F44/INDEX($F$2:$F$61,MATCH(settings!$B$2,$A$2:$A$61,0))*100)</f>
        <v/>
      </c>
      <c r="H44" s="23" t="str">
        <f aca="false">IF($A44="","",E44-G44)</f>
        <v/>
      </c>
      <c r="I44" s="24" t="str">
        <f aca="false">IF($A44="","",E44/MAX($E$2:E44)-1)</f>
        <v/>
      </c>
    </row>
    <row r="45" customFormat="false" ht="15" hidden="false" customHeight="false" outlineLevel="0" collapsed="false">
      <c r="A45" s="20" t="str">
        <f aca="false">IF(prices!A45="","",prices!A45)</f>
        <v/>
      </c>
      <c r="B45" s="18" t="str">
        <f aca="false">IF($A45="","",SUMPRODUCT(positions!B45:AJ45,prices!B45:AJ45))</f>
        <v/>
      </c>
      <c r="C45" s="18" t="str">
        <f aca="false">IF($A45="","",settings!$B$3-SUMIFS(transactions!$J$2:$J$501,transactions!$B$2:$B$501,"&lt;="&amp;$A45))</f>
        <v/>
      </c>
      <c r="D45" s="18" t="str">
        <f aca="false">IF($A45="","",B45+C45)</f>
        <v/>
      </c>
      <c r="E45" s="21" t="str">
        <f aca="false">IF($A45="","",D45/settings!$B$3*100)</f>
        <v/>
      </c>
      <c r="F45" s="22" t="str">
        <f aca="false">IF($A45="","",prices!AK45)</f>
        <v/>
      </c>
      <c r="G45" s="21" t="str">
        <f aca="false">IF($A45="","",F45/INDEX($F$2:$F$61,MATCH(settings!$B$2,$A$2:$A$61,0))*100)</f>
        <v/>
      </c>
      <c r="H45" s="23" t="str">
        <f aca="false">IF($A45="","",E45-G45)</f>
        <v/>
      </c>
      <c r="I45" s="24" t="str">
        <f aca="false">IF($A45="","",E45/MAX($E$2:E45)-1)</f>
        <v/>
      </c>
    </row>
    <row r="46" customFormat="false" ht="15" hidden="false" customHeight="false" outlineLevel="0" collapsed="false">
      <c r="A46" s="20" t="str">
        <f aca="false">IF(prices!A46="","",prices!A46)</f>
        <v/>
      </c>
      <c r="B46" s="18" t="str">
        <f aca="false">IF($A46="","",SUMPRODUCT(positions!B46:AJ46,prices!B46:AJ46))</f>
        <v/>
      </c>
      <c r="C46" s="18" t="str">
        <f aca="false">IF($A46="","",settings!$B$3-SUMIFS(transactions!$J$2:$J$501,transactions!$B$2:$B$501,"&lt;="&amp;$A46))</f>
        <v/>
      </c>
      <c r="D46" s="18" t="str">
        <f aca="false">IF($A46="","",B46+C46)</f>
        <v/>
      </c>
      <c r="E46" s="21" t="str">
        <f aca="false">IF($A46="","",D46/settings!$B$3*100)</f>
        <v/>
      </c>
      <c r="F46" s="22" t="str">
        <f aca="false">IF($A46="","",prices!AK46)</f>
        <v/>
      </c>
      <c r="G46" s="21" t="str">
        <f aca="false">IF($A46="","",F46/INDEX($F$2:$F$61,MATCH(settings!$B$2,$A$2:$A$61,0))*100)</f>
        <v/>
      </c>
      <c r="H46" s="23" t="str">
        <f aca="false">IF($A46="","",E46-G46)</f>
        <v/>
      </c>
      <c r="I46" s="24" t="str">
        <f aca="false">IF($A46="","",E46/MAX($E$2:E46)-1)</f>
        <v/>
      </c>
    </row>
    <row r="47" customFormat="false" ht="15" hidden="false" customHeight="false" outlineLevel="0" collapsed="false">
      <c r="A47" s="20" t="str">
        <f aca="false">IF(prices!A47="","",prices!A47)</f>
        <v/>
      </c>
      <c r="B47" s="18" t="str">
        <f aca="false">IF($A47="","",SUMPRODUCT(positions!B47:AJ47,prices!B47:AJ47))</f>
        <v/>
      </c>
      <c r="C47" s="18" t="str">
        <f aca="false">IF($A47="","",settings!$B$3-SUMIFS(transactions!$J$2:$J$501,transactions!$B$2:$B$501,"&lt;="&amp;$A47))</f>
        <v/>
      </c>
      <c r="D47" s="18" t="str">
        <f aca="false">IF($A47="","",B47+C47)</f>
        <v/>
      </c>
      <c r="E47" s="21" t="str">
        <f aca="false">IF($A47="","",D47/settings!$B$3*100)</f>
        <v/>
      </c>
      <c r="F47" s="22" t="str">
        <f aca="false">IF($A47="","",prices!AK47)</f>
        <v/>
      </c>
      <c r="G47" s="21" t="str">
        <f aca="false">IF($A47="","",F47/INDEX($F$2:$F$61,MATCH(settings!$B$2,$A$2:$A$61,0))*100)</f>
        <v/>
      </c>
      <c r="H47" s="23" t="str">
        <f aca="false">IF($A47="","",E47-G47)</f>
        <v/>
      </c>
      <c r="I47" s="24" t="str">
        <f aca="false">IF($A47="","",E47/MAX($E$2:E47)-1)</f>
        <v/>
      </c>
    </row>
    <row r="48" customFormat="false" ht="15" hidden="false" customHeight="false" outlineLevel="0" collapsed="false">
      <c r="A48" s="20" t="str">
        <f aca="false">IF(prices!A48="","",prices!A48)</f>
        <v/>
      </c>
      <c r="B48" s="18" t="str">
        <f aca="false">IF($A48="","",SUMPRODUCT(positions!B48:AJ48,prices!B48:AJ48))</f>
        <v/>
      </c>
      <c r="C48" s="18" t="str">
        <f aca="false">IF($A48="","",settings!$B$3-SUMIFS(transactions!$J$2:$J$501,transactions!$B$2:$B$501,"&lt;="&amp;$A48))</f>
        <v/>
      </c>
      <c r="D48" s="18" t="str">
        <f aca="false">IF($A48="","",B48+C48)</f>
        <v/>
      </c>
      <c r="E48" s="21" t="str">
        <f aca="false">IF($A48="","",D48/settings!$B$3*100)</f>
        <v/>
      </c>
      <c r="F48" s="22" t="str">
        <f aca="false">IF($A48="","",prices!AK48)</f>
        <v/>
      </c>
      <c r="G48" s="21" t="str">
        <f aca="false">IF($A48="","",F48/INDEX($F$2:$F$61,MATCH(settings!$B$2,$A$2:$A$61,0))*100)</f>
        <v/>
      </c>
      <c r="H48" s="23" t="str">
        <f aca="false">IF($A48="","",E48-G48)</f>
        <v/>
      </c>
      <c r="I48" s="24" t="str">
        <f aca="false">IF($A48="","",E48/MAX($E$2:E48)-1)</f>
        <v/>
      </c>
    </row>
    <row r="49" customFormat="false" ht="15" hidden="false" customHeight="false" outlineLevel="0" collapsed="false">
      <c r="A49" s="20" t="str">
        <f aca="false">IF(prices!A49="","",prices!A49)</f>
        <v/>
      </c>
      <c r="B49" s="18" t="str">
        <f aca="false">IF($A49="","",SUMPRODUCT(positions!B49:AJ49,prices!B49:AJ49))</f>
        <v/>
      </c>
      <c r="C49" s="18" t="str">
        <f aca="false">IF($A49="","",settings!$B$3-SUMIFS(transactions!$J$2:$J$501,transactions!$B$2:$B$501,"&lt;="&amp;$A49))</f>
        <v/>
      </c>
      <c r="D49" s="18" t="str">
        <f aca="false">IF($A49="","",B49+C49)</f>
        <v/>
      </c>
      <c r="E49" s="21" t="str">
        <f aca="false">IF($A49="","",D49/settings!$B$3*100)</f>
        <v/>
      </c>
      <c r="F49" s="22" t="str">
        <f aca="false">IF($A49="","",prices!AK49)</f>
        <v/>
      </c>
      <c r="G49" s="21" t="str">
        <f aca="false">IF($A49="","",F49/INDEX($F$2:$F$61,MATCH(settings!$B$2,$A$2:$A$61,0))*100)</f>
        <v/>
      </c>
      <c r="H49" s="23" t="str">
        <f aca="false">IF($A49="","",E49-G49)</f>
        <v/>
      </c>
      <c r="I49" s="24" t="str">
        <f aca="false">IF($A49="","",E49/MAX($E$2:E49)-1)</f>
        <v/>
      </c>
    </row>
    <row r="50" customFormat="false" ht="15" hidden="false" customHeight="false" outlineLevel="0" collapsed="false">
      <c r="A50" s="20" t="str">
        <f aca="false">IF(prices!A50="","",prices!A50)</f>
        <v/>
      </c>
      <c r="B50" s="18" t="str">
        <f aca="false">IF($A50="","",SUMPRODUCT(positions!B50:AJ50,prices!B50:AJ50))</f>
        <v/>
      </c>
      <c r="C50" s="18" t="str">
        <f aca="false">IF($A50="","",settings!$B$3-SUMIFS(transactions!$J$2:$J$501,transactions!$B$2:$B$501,"&lt;="&amp;$A50))</f>
        <v/>
      </c>
      <c r="D50" s="18" t="str">
        <f aca="false">IF($A50="","",B50+C50)</f>
        <v/>
      </c>
      <c r="E50" s="21" t="str">
        <f aca="false">IF($A50="","",D50/settings!$B$3*100)</f>
        <v/>
      </c>
      <c r="F50" s="22" t="str">
        <f aca="false">IF($A50="","",prices!AK50)</f>
        <v/>
      </c>
      <c r="G50" s="21" t="str">
        <f aca="false">IF($A50="","",F50/INDEX($F$2:$F$61,MATCH(settings!$B$2,$A$2:$A$61,0))*100)</f>
        <v/>
      </c>
      <c r="H50" s="23" t="str">
        <f aca="false">IF($A50="","",E50-G50)</f>
        <v/>
      </c>
      <c r="I50" s="24" t="str">
        <f aca="false">IF($A50="","",E50/MAX($E$2:E50)-1)</f>
        <v/>
      </c>
    </row>
    <row r="51" customFormat="false" ht="15" hidden="false" customHeight="false" outlineLevel="0" collapsed="false">
      <c r="A51" s="20" t="str">
        <f aca="false">IF(prices!A51="","",prices!A51)</f>
        <v/>
      </c>
      <c r="B51" s="18" t="str">
        <f aca="false">IF($A51="","",SUMPRODUCT(positions!B51:AJ51,prices!B51:AJ51))</f>
        <v/>
      </c>
      <c r="C51" s="18" t="str">
        <f aca="false">IF($A51="","",settings!$B$3-SUMIFS(transactions!$J$2:$J$501,transactions!$B$2:$B$501,"&lt;="&amp;$A51))</f>
        <v/>
      </c>
      <c r="D51" s="18" t="str">
        <f aca="false">IF($A51="","",B51+C51)</f>
        <v/>
      </c>
      <c r="E51" s="21" t="str">
        <f aca="false">IF($A51="","",D51/settings!$B$3*100)</f>
        <v/>
      </c>
      <c r="F51" s="22" t="str">
        <f aca="false">IF($A51="","",prices!AK51)</f>
        <v/>
      </c>
      <c r="G51" s="21" t="str">
        <f aca="false">IF($A51="","",F51/INDEX($F$2:$F$61,MATCH(settings!$B$2,$A$2:$A$61,0))*100)</f>
        <v/>
      </c>
      <c r="H51" s="23" t="str">
        <f aca="false">IF($A51="","",E51-G51)</f>
        <v/>
      </c>
      <c r="I51" s="24" t="str">
        <f aca="false">IF($A51="","",E51/MAX($E$2:E51)-1)</f>
        <v/>
      </c>
    </row>
    <row r="52" customFormat="false" ht="15" hidden="false" customHeight="false" outlineLevel="0" collapsed="false">
      <c r="A52" s="20" t="str">
        <f aca="false">IF(prices!A52="","",prices!A52)</f>
        <v/>
      </c>
      <c r="B52" s="18" t="str">
        <f aca="false">IF($A52="","",SUMPRODUCT(positions!B52:AJ52,prices!B52:AJ52))</f>
        <v/>
      </c>
      <c r="C52" s="18" t="str">
        <f aca="false">IF($A52="","",settings!$B$3-SUMIFS(transactions!$J$2:$J$501,transactions!$B$2:$B$501,"&lt;="&amp;$A52))</f>
        <v/>
      </c>
      <c r="D52" s="18" t="str">
        <f aca="false">IF($A52="","",B52+C52)</f>
        <v/>
      </c>
      <c r="E52" s="21" t="str">
        <f aca="false">IF($A52="","",D52/settings!$B$3*100)</f>
        <v/>
      </c>
      <c r="F52" s="22" t="str">
        <f aca="false">IF($A52="","",prices!AK52)</f>
        <v/>
      </c>
      <c r="G52" s="21" t="str">
        <f aca="false">IF($A52="","",F52/INDEX($F$2:$F$61,MATCH(settings!$B$2,$A$2:$A$61,0))*100)</f>
        <v/>
      </c>
      <c r="H52" s="23" t="str">
        <f aca="false">IF($A52="","",E52-G52)</f>
        <v/>
      </c>
      <c r="I52" s="24" t="str">
        <f aca="false">IF($A52="","",E52/MAX($E$2:E52)-1)</f>
        <v/>
      </c>
    </row>
    <row r="53" customFormat="false" ht="15" hidden="false" customHeight="false" outlineLevel="0" collapsed="false">
      <c r="A53" s="20" t="str">
        <f aca="false">IF(prices!A53="","",prices!A53)</f>
        <v/>
      </c>
      <c r="B53" s="18" t="str">
        <f aca="false">IF($A53="","",SUMPRODUCT(positions!B53:AJ53,prices!B53:AJ53))</f>
        <v/>
      </c>
      <c r="C53" s="18" t="str">
        <f aca="false">IF($A53="","",settings!$B$3-SUMIFS(transactions!$J$2:$J$501,transactions!$B$2:$B$501,"&lt;="&amp;$A53))</f>
        <v/>
      </c>
      <c r="D53" s="18" t="str">
        <f aca="false">IF($A53="","",B53+C53)</f>
        <v/>
      </c>
      <c r="E53" s="21" t="str">
        <f aca="false">IF($A53="","",D53/settings!$B$3*100)</f>
        <v/>
      </c>
      <c r="F53" s="22" t="str">
        <f aca="false">IF($A53="","",prices!AK53)</f>
        <v/>
      </c>
      <c r="G53" s="21" t="str">
        <f aca="false">IF($A53="","",F53/INDEX($F$2:$F$61,MATCH(settings!$B$2,$A$2:$A$61,0))*100)</f>
        <v/>
      </c>
      <c r="H53" s="23" t="str">
        <f aca="false">IF($A53="","",E53-G53)</f>
        <v/>
      </c>
      <c r="I53" s="24" t="str">
        <f aca="false">IF($A53="","",E53/MAX($E$2:E53)-1)</f>
        <v/>
      </c>
    </row>
    <row r="54" customFormat="false" ht="15" hidden="false" customHeight="false" outlineLevel="0" collapsed="false">
      <c r="A54" s="20" t="str">
        <f aca="false">IF(prices!A54="","",prices!A54)</f>
        <v/>
      </c>
      <c r="B54" s="18" t="str">
        <f aca="false">IF($A54="","",SUMPRODUCT(positions!B54:AJ54,prices!B54:AJ54))</f>
        <v/>
      </c>
      <c r="C54" s="18" t="str">
        <f aca="false">IF($A54="","",settings!$B$3-SUMIFS(transactions!$J$2:$J$501,transactions!$B$2:$B$501,"&lt;="&amp;$A54))</f>
        <v/>
      </c>
      <c r="D54" s="18" t="str">
        <f aca="false">IF($A54="","",B54+C54)</f>
        <v/>
      </c>
      <c r="E54" s="21" t="str">
        <f aca="false">IF($A54="","",D54/settings!$B$3*100)</f>
        <v/>
      </c>
      <c r="F54" s="22" t="str">
        <f aca="false">IF($A54="","",prices!AK54)</f>
        <v/>
      </c>
      <c r="G54" s="21" t="str">
        <f aca="false">IF($A54="","",F54/INDEX($F$2:$F$61,MATCH(settings!$B$2,$A$2:$A$61,0))*100)</f>
        <v/>
      </c>
      <c r="H54" s="23" t="str">
        <f aca="false">IF($A54="","",E54-G54)</f>
        <v/>
      </c>
      <c r="I54" s="24" t="str">
        <f aca="false">IF($A54="","",E54/MAX($E$2:E54)-1)</f>
        <v/>
      </c>
    </row>
    <row r="55" customFormat="false" ht="15" hidden="false" customHeight="false" outlineLevel="0" collapsed="false">
      <c r="A55" s="20" t="str">
        <f aca="false">IF(prices!A55="","",prices!A55)</f>
        <v/>
      </c>
      <c r="B55" s="18" t="str">
        <f aca="false">IF($A55="","",SUMPRODUCT(positions!B55:AJ55,prices!B55:AJ55))</f>
        <v/>
      </c>
      <c r="C55" s="18" t="str">
        <f aca="false">IF($A55="","",settings!$B$3-SUMIFS(transactions!$J$2:$J$501,transactions!$B$2:$B$501,"&lt;="&amp;$A55))</f>
        <v/>
      </c>
      <c r="D55" s="18" t="str">
        <f aca="false">IF($A55="","",B55+C55)</f>
        <v/>
      </c>
      <c r="E55" s="21" t="str">
        <f aca="false">IF($A55="","",D55/settings!$B$3*100)</f>
        <v/>
      </c>
      <c r="F55" s="22" t="str">
        <f aca="false">IF($A55="","",prices!AK55)</f>
        <v/>
      </c>
      <c r="G55" s="21" t="str">
        <f aca="false">IF($A55="","",F55/INDEX($F$2:$F$61,MATCH(settings!$B$2,$A$2:$A$61,0))*100)</f>
        <v/>
      </c>
      <c r="H55" s="23" t="str">
        <f aca="false">IF($A55="","",E55-G55)</f>
        <v/>
      </c>
      <c r="I55" s="24" t="str">
        <f aca="false">IF($A55="","",E55/MAX($E$2:E55)-1)</f>
        <v/>
      </c>
    </row>
    <row r="56" customFormat="false" ht="15" hidden="false" customHeight="false" outlineLevel="0" collapsed="false">
      <c r="A56" s="20" t="str">
        <f aca="false">IF(prices!A56="","",prices!A56)</f>
        <v/>
      </c>
      <c r="B56" s="18" t="str">
        <f aca="false">IF($A56="","",SUMPRODUCT(positions!B56:AJ56,prices!B56:AJ56))</f>
        <v/>
      </c>
      <c r="C56" s="18" t="str">
        <f aca="false">IF($A56="","",settings!$B$3-SUMIFS(transactions!$J$2:$J$501,transactions!$B$2:$B$501,"&lt;="&amp;$A56))</f>
        <v/>
      </c>
      <c r="D56" s="18" t="str">
        <f aca="false">IF($A56="","",B56+C56)</f>
        <v/>
      </c>
      <c r="E56" s="21" t="str">
        <f aca="false">IF($A56="","",D56/settings!$B$3*100)</f>
        <v/>
      </c>
      <c r="F56" s="22" t="str">
        <f aca="false">IF($A56="","",prices!AK56)</f>
        <v/>
      </c>
      <c r="G56" s="21" t="str">
        <f aca="false">IF($A56="","",F56/INDEX($F$2:$F$61,MATCH(settings!$B$2,$A$2:$A$61,0))*100)</f>
        <v/>
      </c>
      <c r="H56" s="23" t="str">
        <f aca="false">IF($A56="","",E56-G56)</f>
        <v/>
      </c>
      <c r="I56" s="24" t="str">
        <f aca="false">IF($A56="","",E56/MAX($E$2:E56)-1)</f>
        <v/>
      </c>
    </row>
    <row r="57" customFormat="false" ht="15" hidden="false" customHeight="false" outlineLevel="0" collapsed="false">
      <c r="A57" s="20" t="str">
        <f aca="false">IF(prices!A57="","",prices!A57)</f>
        <v/>
      </c>
      <c r="B57" s="18" t="str">
        <f aca="false">IF($A57="","",SUMPRODUCT(positions!B57:AJ57,prices!B57:AJ57))</f>
        <v/>
      </c>
      <c r="C57" s="18" t="str">
        <f aca="false">IF($A57="","",settings!$B$3-SUMIFS(transactions!$J$2:$J$501,transactions!$B$2:$B$501,"&lt;="&amp;$A57))</f>
        <v/>
      </c>
      <c r="D57" s="18" t="str">
        <f aca="false">IF($A57="","",B57+C57)</f>
        <v/>
      </c>
      <c r="E57" s="21" t="str">
        <f aca="false">IF($A57="","",D57/settings!$B$3*100)</f>
        <v/>
      </c>
      <c r="F57" s="22" t="str">
        <f aca="false">IF($A57="","",prices!AK57)</f>
        <v/>
      </c>
      <c r="G57" s="21" t="str">
        <f aca="false">IF($A57="","",F57/INDEX($F$2:$F$61,MATCH(settings!$B$2,$A$2:$A$61,0))*100)</f>
        <v/>
      </c>
      <c r="H57" s="23" t="str">
        <f aca="false">IF($A57="","",E57-G57)</f>
        <v/>
      </c>
      <c r="I57" s="24" t="str">
        <f aca="false">IF($A57="","",E57/MAX($E$2:E57)-1)</f>
        <v/>
      </c>
    </row>
    <row r="58" customFormat="false" ht="15" hidden="false" customHeight="false" outlineLevel="0" collapsed="false">
      <c r="A58" s="20" t="str">
        <f aca="false">IF(prices!A58="","",prices!A58)</f>
        <v/>
      </c>
      <c r="B58" s="18" t="str">
        <f aca="false">IF($A58="","",SUMPRODUCT(positions!B58:AJ58,prices!B58:AJ58))</f>
        <v/>
      </c>
      <c r="C58" s="18" t="str">
        <f aca="false">IF($A58="","",settings!$B$3-SUMIFS(transactions!$J$2:$J$501,transactions!$B$2:$B$501,"&lt;="&amp;$A58))</f>
        <v/>
      </c>
      <c r="D58" s="18" t="str">
        <f aca="false">IF($A58="","",B58+C58)</f>
        <v/>
      </c>
      <c r="E58" s="21" t="str">
        <f aca="false">IF($A58="","",D58/settings!$B$3*100)</f>
        <v/>
      </c>
      <c r="F58" s="22" t="str">
        <f aca="false">IF($A58="","",prices!AK58)</f>
        <v/>
      </c>
      <c r="G58" s="21" t="str">
        <f aca="false">IF($A58="","",F58/INDEX($F$2:$F$61,MATCH(settings!$B$2,$A$2:$A$61,0))*100)</f>
        <v/>
      </c>
      <c r="H58" s="23" t="str">
        <f aca="false">IF($A58="","",E58-G58)</f>
        <v/>
      </c>
      <c r="I58" s="24" t="str">
        <f aca="false">IF($A58="","",E58/MAX($E$2:E58)-1)</f>
        <v/>
      </c>
    </row>
    <row r="59" customFormat="false" ht="15" hidden="false" customHeight="false" outlineLevel="0" collapsed="false">
      <c r="A59" s="20" t="str">
        <f aca="false">IF(prices!A59="","",prices!A59)</f>
        <v/>
      </c>
      <c r="B59" s="18" t="str">
        <f aca="false">IF($A59="","",SUMPRODUCT(positions!B59:AJ59,prices!B59:AJ59))</f>
        <v/>
      </c>
      <c r="C59" s="18" t="str">
        <f aca="false">IF($A59="","",settings!$B$3-SUMIFS(transactions!$J$2:$J$501,transactions!$B$2:$B$501,"&lt;="&amp;$A59))</f>
        <v/>
      </c>
      <c r="D59" s="18" t="str">
        <f aca="false">IF($A59="","",B59+C59)</f>
        <v/>
      </c>
      <c r="E59" s="21" t="str">
        <f aca="false">IF($A59="","",D59/settings!$B$3*100)</f>
        <v/>
      </c>
      <c r="F59" s="22" t="str">
        <f aca="false">IF($A59="","",prices!AK59)</f>
        <v/>
      </c>
      <c r="G59" s="21" t="str">
        <f aca="false">IF($A59="","",F59/INDEX($F$2:$F$61,MATCH(settings!$B$2,$A$2:$A$61,0))*100)</f>
        <v/>
      </c>
      <c r="H59" s="23" t="str">
        <f aca="false">IF($A59="","",E59-G59)</f>
        <v/>
      </c>
      <c r="I59" s="24" t="str">
        <f aca="false">IF($A59="","",E59/MAX($E$2:E59)-1)</f>
        <v/>
      </c>
    </row>
    <row r="60" customFormat="false" ht="15" hidden="false" customHeight="false" outlineLevel="0" collapsed="false">
      <c r="A60" s="20" t="str">
        <f aca="false">IF(prices!A60="","",prices!A60)</f>
        <v/>
      </c>
      <c r="B60" s="18" t="str">
        <f aca="false">IF($A60="","",SUMPRODUCT(positions!B60:AJ60,prices!B60:AJ60))</f>
        <v/>
      </c>
      <c r="C60" s="18" t="str">
        <f aca="false">IF($A60="","",settings!$B$3-SUMIFS(transactions!$J$2:$J$501,transactions!$B$2:$B$501,"&lt;="&amp;$A60))</f>
        <v/>
      </c>
      <c r="D60" s="18" t="str">
        <f aca="false">IF($A60="","",B60+C60)</f>
        <v/>
      </c>
      <c r="E60" s="21" t="str">
        <f aca="false">IF($A60="","",D60/settings!$B$3*100)</f>
        <v/>
      </c>
      <c r="F60" s="22" t="str">
        <f aca="false">IF($A60="","",prices!AK60)</f>
        <v/>
      </c>
      <c r="G60" s="21" t="str">
        <f aca="false">IF($A60="","",F60/INDEX($F$2:$F$61,MATCH(settings!$B$2,$A$2:$A$61,0))*100)</f>
        <v/>
      </c>
      <c r="H60" s="23" t="str">
        <f aca="false">IF($A60="","",E60-G60)</f>
        <v/>
      </c>
      <c r="I60" s="24" t="str">
        <f aca="false">IF($A60="","",E60/MAX($E$2:E60)-1)</f>
        <v/>
      </c>
    </row>
    <row r="61" customFormat="false" ht="15" hidden="false" customHeight="false" outlineLevel="0" collapsed="false">
      <c r="A61" s="20" t="str">
        <f aca="false">IF(prices!A61="","",prices!A61)</f>
        <v/>
      </c>
      <c r="B61" s="18" t="str">
        <f aca="false">IF($A61="","",SUMPRODUCT(positions!B61:AJ61,prices!B61:AJ61))</f>
        <v/>
      </c>
      <c r="C61" s="18" t="str">
        <f aca="false">IF($A61="","",settings!$B$3-SUMIFS(transactions!$J$2:$J$501,transactions!$B$2:$B$501,"&lt;="&amp;$A61))</f>
        <v/>
      </c>
      <c r="D61" s="18" t="str">
        <f aca="false">IF($A61="","",B61+C61)</f>
        <v/>
      </c>
      <c r="E61" s="21" t="str">
        <f aca="false">IF($A61="","",D61/settings!$B$3*100)</f>
        <v/>
      </c>
      <c r="F61" s="22" t="str">
        <f aca="false">IF($A61="","",prices!AK61)</f>
        <v/>
      </c>
      <c r="G61" s="21" t="str">
        <f aca="false">IF($A61="","",F61/INDEX($F$2:$F$61,MATCH(settings!$B$2,$A$2:$A$61,0))*100)</f>
        <v/>
      </c>
      <c r="H61" s="23" t="str">
        <f aca="false">IF($A61="","",E61-G61)</f>
        <v/>
      </c>
      <c r="I61" s="24" t="str">
        <f aca="false">IF($A61="","",E61/MAX($E$2:E61)-1)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0" topLeftCell="C21" activePane="bottomRight" state="frozen"/>
      <selection pane="topLeft" activeCell="A1" activeCellId="0" sqref="A1"/>
      <selection pane="topRight" activeCell="C1" activeCellId="0" sqref="C1"/>
      <selection pane="bottomLeft" activeCell="A21" activeCellId="0" sqref="A21"/>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6"/>
    <col collapsed="false" customWidth="true" hidden="false" outlineLevel="0" max="3" min="3" style="0" width="13"/>
    <col collapsed="false" customWidth="true" hidden="false" outlineLevel="0" max="4" min="4" style="0" width="30"/>
    <col collapsed="false" customWidth="true" hidden="false" outlineLevel="0" max="5" min="5" style="0" width="32"/>
    <col collapsed="false" customWidth="true" hidden="false" outlineLevel="0" max="6" min="6" style="0" width="10"/>
    <col collapsed="false" customWidth="true" hidden="false" outlineLevel="0" max="7" min="7" style="0" width="13"/>
    <col collapsed="false" customWidth="true" hidden="false" outlineLevel="0" max="8" min="8" style="0" width="16"/>
    <col collapsed="false" customWidth="true" hidden="false" outlineLevel="0" max="9" min="9" style="0" width="14"/>
    <col collapsed="false" customWidth="true" hidden="false" outlineLevel="0" max="10" min="10" style="0" width="16"/>
    <col collapsed="false" customWidth="true" hidden="false" outlineLevel="0" max="11" min="11" style="0" width="15"/>
    <col collapsed="false" customWidth="true" hidden="false" outlineLevel="0" max="13" min="12" style="0" width="10"/>
    <col collapsed="false" customWidth="true" hidden="false" outlineLevel="0" max="15" min="14" style="0" width="12"/>
    <col collapsed="false" customWidth="true" hidden="false" outlineLevel="0" max="16" min="16" style="0" width="14"/>
  </cols>
  <sheetData>
    <row r="1" customFormat="false" ht="17.35" hidden="false" customHeight="false" outlineLevel="0" collapsed="false">
      <c r="A1" s="4" t="s">
        <v>274</v>
      </c>
    </row>
    <row r="2" customFormat="false" ht="15" hidden="false" customHeight="false" outlineLevel="0" collapsed="false">
      <c r="A2" s="25" t="s">
        <v>275</v>
      </c>
      <c r="B2" s="26"/>
    </row>
    <row r="3" customFormat="false" ht="15" hidden="false" customHeight="false" outlineLevel="0" collapsed="false">
      <c r="A3" s="5" t="s">
        <v>276</v>
      </c>
      <c r="B3" s="27" t="n">
        <f aca="false">MAX(prices!A2:A61)</f>
        <v>46310</v>
      </c>
      <c r="D3" s="25" t="s">
        <v>277</v>
      </c>
    </row>
    <row r="4" customFormat="false" ht="15" hidden="false" customHeight="false" outlineLevel="0" collapsed="false">
      <c r="A4" s="5" t="s">
        <v>25</v>
      </c>
      <c r="B4" s="27" t="n">
        <f aca="false">settings!B2</f>
        <v>46101</v>
      </c>
      <c r="D4" s="7" t="s">
        <v>278</v>
      </c>
      <c r="F4" s="5" t="str">
        <f aca="false">IF(ABS(M56+M57-1)&lt;0.0001,"OK","CHECK")</f>
        <v>OK</v>
      </c>
    </row>
    <row r="5" customFormat="false" ht="15" hidden="false" customHeight="false" outlineLevel="0" collapsed="false">
      <c r="A5" s="5" t="s">
        <v>279</v>
      </c>
      <c r="B5" s="28" t="n">
        <f aca="false">B3-B4</f>
        <v>209</v>
      </c>
      <c r="D5" s="7" t="s">
        <v>280</v>
      </c>
      <c r="F5" s="5" t="str">
        <f aca="false">IF(ABS(securities!E37-1)&lt;0.0001,"OK","CHECK")</f>
        <v>OK</v>
      </c>
    </row>
    <row r="6" customFormat="false" ht="15" hidden="false" customHeight="false" outlineLevel="0" collapsed="false">
      <c r="A6" s="5" t="s">
        <v>27</v>
      </c>
      <c r="B6" s="18" t="n">
        <f aca="false">settings!B3</f>
        <v>10000000</v>
      </c>
      <c r="D6" s="7" t="s">
        <v>281</v>
      </c>
      <c r="F6" s="5" t="str">
        <f aca="false">IF(COUNTIF(I21:I55,0)+SUMPRODUCT(--ISERROR(I21:I55))=0,"OK","CHECK")</f>
        <v>OK</v>
      </c>
    </row>
    <row r="7" customFormat="false" ht="15" hidden="false" customHeight="false" outlineLevel="0" collapsed="false">
      <c r="A7" s="5" t="s">
        <v>282</v>
      </c>
      <c r="B7" s="18" t="n">
        <f aca="false">INDEX(nav!D2:D61,MATCH(B3,nav!A2:A61,0))</f>
        <v>10227459.818</v>
      </c>
      <c r="D7" s="7" t="s">
        <v>283</v>
      </c>
      <c r="F7" s="5" t="str">
        <f aca="false">IF(COUNTIF(F21:F55,"&lt;0")=0,"OK","CHECK")</f>
        <v>OK</v>
      </c>
    </row>
    <row r="8" customFormat="false" ht="15" hidden="false" customHeight="false" outlineLevel="0" collapsed="false">
      <c r="A8" s="5" t="s">
        <v>284</v>
      </c>
      <c r="B8" s="24" t="n">
        <f aca="false">B7/B6-1</f>
        <v>0.0227459818</v>
      </c>
    </row>
    <row r="9" customFormat="false" ht="15" hidden="false" customHeight="false" outlineLevel="0" collapsed="false">
      <c r="A9" s="5" t="s">
        <v>285</v>
      </c>
      <c r="B9" s="29" t="n">
        <f aca="false">INDEX(prices!AK2:AK61,MATCH(B4,prices!A2:A61,0))</f>
        <v>21327.9</v>
      </c>
    </row>
    <row r="10" customFormat="false" ht="15" hidden="false" customHeight="false" outlineLevel="0" collapsed="false">
      <c r="A10" s="5" t="s">
        <v>286</v>
      </c>
      <c r="B10" s="29" t="n">
        <f aca="false">INDEX(prices!AK2:AK61,MATCH(B3,prices!A2:A61,0))</f>
        <v>22155.55</v>
      </c>
    </row>
    <row r="11" customFormat="false" ht="15" hidden="false" customHeight="false" outlineLevel="0" collapsed="false">
      <c r="A11" s="5" t="s">
        <v>287</v>
      </c>
      <c r="B11" s="24" t="n">
        <f aca="false">B10/B9-1</f>
        <v>0.0388059771473046</v>
      </c>
    </row>
    <row r="12" customFormat="false" ht="15" hidden="false" customHeight="false" outlineLevel="0" collapsed="false">
      <c r="A12" s="5" t="s">
        <v>288</v>
      </c>
      <c r="B12" s="24" t="n">
        <f aca="false">B8-B11</f>
        <v>-0.0160599953473046</v>
      </c>
    </row>
    <row r="13" customFormat="false" ht="15" hidden="false" customHeight="false" outlineLevel="0" collapsed="false">
      <c r="A13" s="5" t="s">
        <v>289</v>
      </c>
      <c r="B13" s="24" t="str">
        <f aca="false">IF(B5&gt;=365,(1+B8)^(365/B5)-1,"n/a (&lt;1 yr)")</f>
        <v>n/a (&lt;1 yr)</v>
      </c>
    </row>
    <row r="14" customFormat="false" ht="15" hidden="false" customHeight="false" outlineLevel="0" collapsed="false">
      <c r="A14" s="5" t="s">
        <v>290</v>
      </c>
      <c r="B14" s="24" t="str">
        <f aca="false">IF(B5&gt;=365,(1+B11)^(365/B5)-1,"n/a (&lt;1 yr)")</f>
        <v>n/a (&lt;1 yr)</v>
      </c>
    </row>
    <row r="15" customFormat="false" ht="15" hidden="false" customHeight="false" outlineLevel="0" collapsed="false">
      <c r="A15" s="5" t="s">
        <v>291</v>
      </c>
      <c r="B15" s="24" t="n">
        <f aca="false">MIN(nav!I2:I61)</f>
        <v>0</v>
      </c>
    </row>
    <row r="16" customFormat="false" ht="15" hidden="false" customHeight="false" outlineLevel="0" collapsed="false">
      <c r="A16" s="5" t="s">
        <v>292</v>
      </c>
      <c r="B16" s="18" t="n">
        <f aca="false">INDEX(nav!C2:C61,MATCH(B3,nav!A2:A61,0))</f>
        <v>4187.83000000007</v>
      </c>
    </row>
    <row r="17" customFormat="false" ht="15" hidden="false" customHeight="false" outlineLevel="0" collapsed="false">
      <c r="A17" s="5" t="s">
        <v>293</v>
      </c>
      <c r="B17" s="28" t="n">
        <f aca="false">COUNTIF(F21:F55,"&gt;0")</f>
        <v>35</v>
      </c>
    </row>
    <row r="20" customFormat="false" ht="23.85" hidden="false" customHeight="false" outlineLevel="0" collapsed="false">
      <c r="A20" s="10" t="s">
        <v>294</v>
      </c>
      <c r="B20" s="10" t="s">
        <v>295</v>
      </c>
      <c r="C20" s="10" t="s">
        <v>296</v>
      </c>
      <c r="D20" s="10" t="s">
        <v>297</v>
      </c>
      <c r="E20" s="10" t="s">
        <v>298</v>
      </c>
      <c r="F20" s="10" t="s">
        <v>299</v>
      </c>
      <c r="G20" s="10" t="s">
        <v>300</v>
      </c>
      <c r="H20" s="10" t="s">
        <v>301</v>
      </c>
      <c r="I20" s="10" t="s">
        <v>302</v>
      </c>
      <c r="J20" s="10" t="s">
        <v>303</v>
      </c>
      <c r="K20" s="10" t="s">
        <v>304</v>
      </c>
      <c r="L20" s="10" t="s">
        <v>305</v>
      </c>
      <c r="M20" s="10" t="s">
        <v>306</v>
      </c>
      <c r="N20" s="10" t="s">
        <v>307</v>
      </c>
      <c r="O20" s="10" t="s">
        <v>308</v>
      </c>
      <c r="P20" s="10" t="s">
        <v>309</v>
      </c>
    </row>
    <row r="21" customFormat="false" ht="15" hidden="false" customHeight="false" outlineLevel="0" collapsed="false">
      <c r="A21" s="7" t="n">
        <v>1</v>
      </c>
      <c r="B21" s="30" t="str">
        <f aca="false">securities!B2</f>
        <v>Kotak Mahindra Bank</v>
      </c>
      <c r="C21" s="30" t="str">
        <f aca="false">securities!A2</f>
        <v>KOTAKBANK</v>
      </c>
      <c r="D21" s="30" t="str">
        <f aca="false">securities!C2</f>
        <v>Financial Services</v>
      </c>
      <c r="E21" s="30" t="str">
        <f aca="false">securities!D2</f>
        <v>Bank - Pvt</v>
      </c>
      <c r="F21" s="17" t="n">
        <f aca="false">SUMIFS(transactions!$I$2:$I$501,transactions!$C$2:$C$501,C21)</f>
        <v>1363</v>
      </c>
      <c r="G21" s="29" t="n">
        <f aca="false">IFERROR(SUMIFS(transactions!$J$2:$J$501,transactions!$C$2:$C$501,C21,transactions!$D$2:$D$501,"BUY")/SUMIFS(transactions!$I$2:$I$501,transactions!$C$2:$C$501,C21,transactions!$D$2:$D$501,"BUY"),0)</f>
        <v>366.75</v>
      </c>
      <c r="H21" s="18" t="n">
        <f aca="false">F21*G21</f>
        <v>499880.25</v>
      </c>
      <c r="I21" s="22" t="n">
        <f aca="false">INDEX(prices!$B$2:$AJ$61,MATCH($B$3,prices!$A$2:$A$61,0),MATCH(C21,prices!$B$1:$AJ$1,0))</f>
        <v>445.55</v>
      </c>
      <c r="J21" s="18" t="n">
        <f aca="false">F21*I21</f>
        <v>607284.65</v>
      </c>
      <c r="K21" s="18" t="n">
        <f aca="false">J21-H21</f>
        <v>107404.4</v>
      </c>
      <c r="L21" s="24" t="n">
        <f aca="false">IF(H21=0,0,J21/H21-1)</f>
        <v>0.214860259032038</v>
      </c>
      <c r="M21" s="24" t="n">
        <f aca="false">J21/$B$7</f>
        <v>0.0593778573376743</v>
      </c>
      <c r="N21" s="31" t="n">
        <f aca="false">securities!E2</f>
        <v>0.05</v>
      </c>
      <c r="O21" s="24" t="n">
        <f aca="false">M21-N21</f>
        <v>0.00937785733767427</v>
      </c>
      <c r="P21" s="24" t="n">
        <f aca="false">K21/$B$6</f>
        <v>0.01074044</v>
      </c>
    </row>
    <row r="22" customFormat="false" ht="15" hidden="false" customHeight="false" outlineLevel="0" collapsed="false">
      <c r="A22" s="7" t="n">
        <v>2</v>
      </c>
      <c r="B22" s="30" t="str">
        <f aca="false">securities!B3</f>
        <v>HDFC Bank</v>
      </c>
      <c r="C22" s="30" t="str">
        <f aca="false">securities!A3</f>
        <v>HDFCBANK</v>
      </c>
      <c r="D22" s="30" t="str">
        <f aca="false">securities!C3</f>
        <v>Financial Services</v>
      </c>
      <c r="E22" s="30" t="str">
        <f aca="false">securities!D3</f>
        <v>Bank - Pvt</v>
      </c>
      <c r="F22" s="17" t="n">
        <f aca="false">SUMIFS(transactions!$I$2:$I$501,transactions!$C$2:$C$501,C22)</f>
        <v>1025</v>
      </c>
      <c r="G22" s="29" t="n">
        <f aca="false">IFERROR(SUMIFS(transactions!$J$2:$J$501,transactions!$C$2:$C$501,C22,transactions!$D$2:$D$501,"BUY")/SUMIFS(transactions!$I$2:$I$501,transactions!$C$2:$C$501,C22,transactions!$D$2:$D$501,"BUY"),0)</f>
        <v>780.45</v>
      </c>
      <c r="H22" s="18" t="n">
        <f aca="false">F22*G22</f>
        <v>799961.25</v>
      </c>
      <c r="I22" s="22" t="n">
        <f aca="false">INDEX(prices!$B$2:$AJ$61,MATCH($B$3,prices!$A$2:$A$61,0),MATCH(C22,prices!$B$1:$AJ$1,0))</f>
        <v>725.15</v>
      </c>
      <c r="J22" s="18" t="n">
        <f aca="false">F22*I22</f>
        <v>743278.75</v>
      </c>
      <c r="K22" s="18" t="n">
        <f aca="false">J22-H22</f>
        <v>-56682.5</v>
      </c>
      <c r="L22" s="24" t="n">
        <f aca="false">IF(H22=0,0,J22/H22-1)</f>
        <v>-0.0708565571144852</v>
      </c>
      <c r="M22" s="24" t="n">
        <f aca="false">J22/$B$7</f>
        <v>0.0726748149811211</v>
      </c>
      <c r="N22" s="31" t="n">
        <f aca="false">securities!E3</f>
        <v>0.08</v>
      </c>
      <c r="O22" s="24" t="n">
        <f aca="false">M22-N22</f>
        <v>-0.00732518501887895</v>
      </c>
      <c r="P22" s="24" t="n">
        <f aca="false">K22/$B$6</f>
        <v>-0.00566825</v>
      </c>
    </row>
    <row r="23" customFormat="false" ht="15" hidden="false" customHeight="false" outlineLevel="0" collapsed="false">
      <c r="A23" s="7" t="n">
        <v>3</v>
      </c>
      <c r="B23" s="30" t="str">
        <f aca="false">securities!B4</f>
        <v>SBI</v>
      </c>
      <c r="C23" s="30" t="str">
        <f aca="false">securities!A4</f>
        <v>SBIN</v>
      </c>
      <c r="D23" s="30" t="str">
        <f aca="false">securities!C4</f>
        <v>Financial Services</v>
      </c>
      <c r="E23" s="30" t="str">
        <f aca="false">securities!D4</f>
        <v>Bank - PSU</v>
      </c>
      <c r="F23" s="17" t="n">
        <f aca="false">SUMIFS(transactions!$I$2:$I$501,transactions!$C$2:$C$501,C23)</f>
        <v>662</v>
      </c>
      <c r="G23" s="29" t="n">
        <f aca="false">IFERROR(SUMIFS(transactions!$J$2:$J$501,transactions!$C$2:$C$501,C23,transactions!$D$2:$D$501,"BUY")/SUMIFS(transactions!$I$2:$I$501,transactions!$C$2:$C$501,C23,transactions!$D$2:$D$501,"BUY"),0)</f>
        <v>1058</v>
      </c>
      <c r="H23" s="18" t="n">
        <f aca="false">F23*G23</f>
        <v>700396</v>
      </c>
      <c r="I23" s="22" t="n">
        <f aca="false">INDEX(prices!$B$2:$AJ$61,MATCH($B$3,prices!$A$2:$A$61,0),MATCH(C23,prices!$B$1:$AJ$1,0))</f>
        <v>959</v>
      </c>
      <c r="J23" s="18" t="n">
        <f aca="false">F23*I23</f>
        <v>634858</v>
      </c>
      <c r="K23" s="18" t="n">
        <f aca="false">J23-H23</f>
        <v>-65538</v>
      </c>
      <c r="L23" s="24" t="n">
        <f aca="false">IF(H23=0,0,J23/H23-1)</f>
        <v>-0.0935727788279773</v>
      </c>
      <c r="M23" s="24" t="n">
        <f aca="false">J23/$B$7</f>
        <v>0.0620738689075728</v>
      </c>
      <c r="N23" s="31" t="n">
        <f aca="false">securities!E4</f>
        <v>0.07</v>
      </c>
      <c r="O23" s="24" t="n">
        <f aca="false">M23-N23</f>
        <v>-0.00792613109242724</v>
      </c>
      <c r="P23" s="24" t="n">
        <f aca="false">K23/$B$6</f>
        <v>-0.0065538</v>
      </c>
    </row>
    <row r="24" customFormat="false" ht="15" hidden="false" customHeight="false" outlineLevel="0" collapsed="false">
      <c r="A24" s="7" t="n">
        <v>4</v>
      </c>
      <c r="B24" s="30" t="str">
        <f aca="false">securities!B5</f>
        <v>Manappuram Finance</v>
      </c>
      <c r="C24" s="30" t="str">
        <f aca="false">securities!A5</f>
        <v>MANAPPURAM</v>
      </c>
      <c r="D24" s="30" t="str">
        <f aca="false">securities!C5</f>
        <v>Financial Services</v>
      </c>
      <c r="E24" s="30" t="str">
        <f aca="false">securities!D5</f>
        <v>NBFC - Gold &amp; MFI</v>
      </c>
      <c r="F24" s="17" t="n">
        <f aca="false">SUMIFS(transactions!$I$2:$I$501,transactions!$C$2:$C$501,C24)</f>
        <v>1929</v>
      </c>
      <c r="G24" s="29" t="n">
        <f aca="false">IFERROR(SUMIFS(transactions!$J$2:$J$501,transactions!$C$2:$C$501,C24,transactions!$D$2:$D$501,"BUY")/SUMIFS(transactions!$I$2:$I$501,transactions!$C$2:$C$501,C24,transactions!$D$2:$D$501,"BUY"),0)</f>
        <v>259.25</v>
      </c>
      <c r="H24" s="18" t="n">
        <f aca="false">F24*G24</f>
        <v>500093.25</v>
      </c>
      <c r="I24" s="22" t="n">
        <f aca="false">INDEX(prices!$B$2:$AJ$61,MATCH($B$3,prices!$A$2:$A$61,0),MATCH(C24,prices!$B$1:$AJ$1,0))</f>
        <v>323.3</v>
      </c>
      <c r="J24" s="18" t="n">
        <f aca="false">F24*I24</f>
        <v>623645.7</v>
      </c>
      <c r="K24" s="18" t="n">
        <f aca="false">J24-H24</f>
        <v>123552.45</v>
      </c>
      <c r="L24" s="24" t="n">
        <f aca="false">IF(H24=0,0,J24/H24-1)</f>
        <v>0.247058823529412</v>
      </c>
      <c r="M24" s="24" t="n">
        <f aca="false">J24/$B$7</f>
        <v>0.060977575184642</v>
      </c>
      <c r="N24" s="31" t="n">
        <f aca="false">securities!E5</f>
        <v>0.05</v>
      </c>
      <c r="O24" s="24" t="n">
        <f aca="false">M24-N24</f>
        <v>0.010977575184642</v>
      </c>
      <c r="P24" s="24" t="n">
        <f aca="false">K24/$B$6</f>
        <v>0.012355245</v>
      </c>
    </row>
    <row r="25" customFormat="false" ht="15" hidden="false" customHeight="false" outlineLevel="0" collapsed="false">
      <c r="A25" s="7" t="n">
        <v>5</v>
      </c>
      <c r="B25" s="30" t="str">
        <f aca="false">securities!B6</f>
        <v>Shriram Finance</v>
      </c>
      <c r="C25" s="30" t="str">
        <f aca="false">securities!A6</f>
        <v>SHRIRAMFIN</v>
      </c>
      <c r="D25" s="30" t="str">
        <f aca="false">securities!C6</f>
        <v>Financial Services</v>
      </c>
      <c r="E25" s="30" t="str">
        <f aca="false">securities!D6</f>
        <v>NBFC - Auto</v>
      </c>
      <c r="F25" s="17" t="n">
        <f aca="false">SUMIFS(transactions!$I$2:$I$501,transactions!$C$2:$C$501,C25)</f>
        <v>533</v>
      </c>
      <c r="G25" s="29" t="n">
        <f aca="false">IFERROR(SUMIFS(transactions!$J$2:$J$501,transactions!$C$2:$C$501,C25,transactions!$D$2:$D$501,"BUY")/SUMIFS(transactions!$I$2:$I$501,transactions!$C$2:$C$501,C25,transactions!$D$2:$D$501,"BUY"),0)</f>
        <v>938.6</v>
      </c>
      <c r="H25" s="18" t="n">
        <f aca="false">F25*G25</f>
        <v>500273.8</v>
      </c>
      <c r="I25" s="22" t="n">
        <f aca="false">INDEX(prices!$B$2:$AJ$61,MATCH($B$3,prices!$A$2:$A$61,0),MATCH(C25,prices!$B$1:$AJ$1,0))</f>
        <v>950.75</v>
      </c>
      <c r="J25" s="18" t="n">
        <f aca="false">F25*I25</f>
        <v>506749.75</v>
      </c>
      <c r="K25" s="18" t="n">
        <f aca="false">J25-H25</f>
        <v>6475.95000000001</v>
      </c>
      <c r="L25" s="24" t="n">
        <f aca="false">IF(H25=0,0,J25/H25-1)</f>
        <v>0.0129448114212658</v>
      </c>
      <c r="M25" s="24" t="n">
        <f aca="false">J25/$B$7</f>
        <v>0.0495479580480127</v>
      </c>
      <c r="N25" s="31" t="n">
        <f aca="false">securities!E6</f>
        <v>0.05</v>
      </c>
      <c r="O25" s="24" t="n">
        <f aca="false">M25-N25</f>
        <v>-0.000452041951987267</v>
      </c>
      <c r="P25" s="24" t="n">
        <f aca="false">K25/$B$6</f>
        <v>0.000647595000000001</v>
      </c>
    </row>
    <row r="26" customFormat="false" ht="15" hidden="false" customHeight="false" outlineLevel="0" collapsed="false">
      <c r="A26" s="7" t="n">
        <v>6</v>
      </c>
      <c r="B26" s="30" t="str">
        <f aca="false">securities!B7</f>
        <v>REC Ltd</v>
      </c>
      <c r="C26" s="30" t="str">
        <f aca="false">securities!A7</f>
        <v>RECLTD</v>
      </c>
      <c r="D26" s="30" t="str">
        <f aca="false">securities!C7</f>
        <v>Financial Services</v>
      </c>
      <c r="E26" s="30" t="str">
        <f aca="false">securities!D7</f>
        <v>NBFC - Power</v>
      </c>
      <c r="F26" s="17" t="n">
        <f aca="false">SUMIFS(transactions!$I$2:$I$501,transactions!$C$2:$C$501,C26)</f>
        <v>1210</v>
      </c>
      <c r="G26" s="29" t="n">
        <f aca="false">IFERROR(SUMIFS(transactions!$J$2:$J$501,transactions!$C$2:$C$501,C26,transactions!$D$2:$D$501,"BUY")/SUMIFS(transactions!$I$2:$I$501,transactions!$C$2:$C$501,C26,transactions!$D$2:$D$501,"BUY"),0)</f>
        <v>330.5</v>
      </c>
      <c r="H26" s="18" t="n">
        <f aca="false">F26*G26</f>
        <v>399905</v>
      </c>
      <c r="I26" s="22" t="n">
        <f aca="false">INDEX(prices!$B$2:$AJ$61,MATCH($B$3,prices!$A$2:$A$61,0),MATCH(C26,prices!$B$1:$AJ$1,0))</f>
        <v>309.95</v>
      </c>
      <c r="J26" s="18" t="n">
        <f aca="false">F26*I26</f>
        <v>375039.5</v>
      </c>
      <c r="K26" s="18" t="n">
        <f aca="false">J26-H26</f>
        <v>-24865.5</v>
      </c>
      <c r="L26" s="24" t="n">
        <f aca="false">IF(H26=0,0,J26/H26-1)</f>
        <v>-0.0621785173978821</v>
      </c>
      <c r="M26" s="24" t="n">
        <f aca="false">J26/$B$7</f>
        <v>0.0366698580756037</v>
      </c>
      <c r="N26" s="31" t="n">
        <f aca="false">securities!E7</f>
        <v>0.04</v>
      </c>
      <c r="O26" s="24" t="n">
        <f aca="false">M26-N26</f>
        <v>-0.00333014192439627</v>
      </c>
      <c r="P26" s="24" t="n">
        <f aca="false">K26/$B$6</f>
        <v>-0.00248655</v>
      </c>
    </row>
    <row r="27" customFormat="false" ht="15" hidden="false" customHeight="false" outlineLevel="0" collapsed="false">
      <c r="A27" s="7" t="n">
        <v>7</v>
      </c>
      <c r="B27" s="30" t="str">
        <f aca="false">securities!B8</f>
        <v>Infosys</v>
      </c>
      <c r="C27" s="30" t="str">
        <f aca="false">securities!A8</f>
        <v>INFY</v>
      </c>
      <c r="D27" s="30" t="str">
        <f aca="false">securities!C8</f>
        <v>Information Technology</v>
      </c>
      <c r="E27" s="30" t="str">
        <f aca="false">securities!D8</f>
        <v>IT</v>
      </c>
      <c r="F27" s="17" t="n">
        <f aca="false">SUMIFS(transactions!$I$2:$I$501,transactions!$C$2:$C$501,C27)</f>
        <v>279</v>
      </c>
      <c r="G27" s="29" t="n">
        <f aca="false">IFERROR(SUMIFS(transactions!$J$2:$J$501,transactions!$C$2:$C$501,C27,transactions!$D$2:$D$501,"BUY")/SUMIFS(transactions!$I$2:$I$501,transactions!$C$2:$C$501,C27,transactions!$D$2:$D$501,"BUY"),0)</f>
        <v>1255.9</v>
      </c>
      <c r="H27" s="18" t="n">
        <f aca="false">F27*G27</f>
        <v>350396.1</v>
      </c>
      <c r="I27" s="22" t="n">
        <f aca="false">INDEX(prices!$B$2:$AJ$61,MATCH($B$3,prices!$A$2:$A$61,0),MATCH(C27,prices!$B$1:$AJ$1,0))</f>
        <v>1109.1</v>
      </c>
      <c r="J27" s="18" t="n">
        <f aca="false">F27*I27</f>
        <v>309438.9</v>
      </c>
      <c r="K27" s="18" t="n">
        <f aca="false">J27-H27</f>
        <v>-40957.2000000001</v>
      </c>
      <c r="L27" s="24" t="n">
        <f aca="false">IF(H27=0,0,J27/H27-1)</f>
        <v>-0.11688828728402</v>
      </c>
      <c r="M27" s="24" t="n">
        <f aca="false">J27/$B$7</f>
        <v>0.0302556945230327</v>
      </c>
      <c r="N27" s="31" t="n">
        <f aca="false">securities!E8</f>
        <v>0.035</v>
      </c>
      <c r="O27" s="24" t="n">
        <f aca="false">M27-N27</f>
        <v>-0.00474430547696727</v>
      </c>
      <c r="P27" s="24" t="n">
        <f aca="false">K27/$B$6</f>
        <v>-0.00409572000000001</v>
      </c>
    </row>
    <row r="28" customFormat="false" ht="15" hidden="false" customHeight="false" outlineLevel="0" collapsed="false">
      <c r="A28" s="7" t="n">
        <v>8</v>
      </c>
      <c r="B28" s="30" t="str">
        <f aca="false">securities!B9</f>
        <v>TCS</v>
      </c>
      <c r="C28" s="30" t="str">
        <f aca="false">securities!A9</f>
        <v>TCS</v>
      </c>
      <c r="D28" s="30" t="str">
        <f aca="false">securities!C9</f>
        <v>Information Technology</v>
      </c>
      <c r="E28" s="30" t="str">
        <f aca="false">securities!D9</f>
        <v>IT</v>
      </c>
      <c r="F28" s="17" t="n">
        <f aca="false">SUMIFS(transactions!$I$2:$I$501,transactions!$C$2:$C$501,C28)</f>
        <v>147</v>
      </c>
      <c r="G28" s="29" t="n">
        <f aca="false">IFERROR(SUMIFS(transactions!$J$2:$J$501,transactions!$C$2:$C$501,C28,transactions!$D$2:$D$501,"BUY")/SUMIFS(transactions!$I$2:$I$501,transactions!$C$2:$C$501,C28,transactions!$D$2:$D$501,"BUY"),0)</f>
        <v>2390.6</v>
      </c>
      <c r="H28" s="18" t="n">
        <f aca="false">F28*G28</f>
        <v>351418.2</v>
      </c>
      <c r="I28" s="22" t="n">
        <f aca="false">INDEX(prices!$B$2:$AJ$61,MATCH($B$3,prices!$A$2:$A$61,0),MATCH(C28,prices!$B$1:$AJ$1,0))</f>
        <v>2356.7</v>
      </c>
      <c r="J28" s="18" t="n">
        <f aca="false">F28*I28</f>
        <v>346434.9</v>
      </c>
      <c r="K28" s="18" t="n">
        <f aca="false">J28-H28</f>
        <v>-4983.30000000005</v>
      </c>
      <c r="L28" s="24" t="n">
        <f aca="false">IF(H28=0,0,J28/H28-1)</f>
        <v>-0.0141805404500963</v>
      </c>
      <c r="M28" s="24" t="n">
        <f aca="false">J28/$B$7</f>
        <v>0.0338730150169141</v>
      </c>
      <c r="N28" s="31" t="n">
        <f aca="false">securities!E9</f>
        <v>0.035</v>
      </c>
      <c r="O28" s="24" t="n">
        <f aca="false">M28-N28</f>
        <v>-0.00112698498308586</v>
      </c>
      <c r="P28" s="24" t="n">
        <f aca="false">K28/$B$6</f>
        <v>-0.000498330000000005</v>
      </c>
    </row>
    <row r="29" customFormat="false" ht="15" hidden="false" customHeight="false" outlineLevel="0" collapsed="false">
      <c r="A29" s="7" t="n">
        <v>9</v>
      </c>
      <c r="B29" s="30" t="str">
        <f aca="false">securities!B10</f>
        <v>HCL Tech</v>
      </c>
      <c r="C29" s="30" t="str">
        <f aca="false">securities!A10</f>
        <v>HCLTECH</v>
      </c>
      <c r="D29" s="30" t="str">
        <f aca="false">securities!C10</f>
        <v>Information Technology</v>
      </c>
      <c r="E29" s="30" t="str">
        <f aca="false">securities!D10</f>
        <v>IT</v>
      </c>
      <c r="F29" s="17" t="n">
        <f aca="false">SUMIFS(transactions!$I$2:$I$501,transactions!$C$2:$C$501,C29)</f>
        <v>112</v>
      </c>
      <c r="G29" s="29" t="n">
        <f aca="false">IFERROR(SUMIFS(transactions!$J$2:$J$501,transactions!$C$2:$C$501,C29,transactions!$D$2:$D$501,"BUY")/SUMIFS(transactions!$I$2:$I$501,transactions!$C$2:$C$501,C29,transactions!$D$2:$D$501,"BUY"),0)</f>
        <v>1333.7</v>
      </c>
      <c r="H29" s="18" t="n">
        <f aca="false">F29*G29</f>
        <v>149374.4</v>
      </c>
      <c r="I29" s="22" t="n">
        <f aca="false">INDEX(prices!$B$2:$AJ$61,MATCH($B$3,prices!$A$2:$A$61,0),MATCH(C29,prices!$B$1:$AJ$1,0))</f>
        <v>1370.1</v>
      </c>
      <c r="J29" s="18" t="n">
        <f aca="false">F29*I29</f>
        <v>153451.2</v>
      </c>
      <c r="K29" s="18" t="n">
        <f aca="false">J29-H29</f>
        <v>4076.79999999999</v>
      </c>
      <c r="L29" s="24" t="n">
        <f aca="false">IF(H29=0,0,J29/H29-1)</f>
        <v>0.0272924945639947</v>
      </c>
      <c r="M29" s="24" t="n">
        <f aca="false">J29/$B$7</f>
        <v>0.0150038428633013</v>
      </c>
      <c r="N29" s="31" t="n">
        <f aca="false">securities!E10</f>
        <v>0.015</v>
      </c>
      <c r="O29" s="24" t="n">
        <f aca="false">M29-N29</f>
        <v>3.84286330128852E-006</v>
      </c>
      <c r="P29" s="24" t="n">
        <f aca="false">K29/$B$6</f>
        <v>0.000407679999999999</v>
      </c>
    </row>
    <row r="30" customFormat="false" ht="15" hidden="false" customHeight="false" outlineLevel="0" collapsed="false">
      <c r="A30" s="7" t="n">
        <v>10</v>
      </c>
      <c r="B30" s="30" t="str">
        <f aca="false">securities!B11</f>
        <v>NTPC</v>
      </c>
      <c r="C30" s="30" t="str">
        <f aca="false">securities!A11</f>
        <v>NTPC</v>
      </c>
      <c r="D30" s="30" t="str">
        <f aca="false">securities!C11</f>
        <v>Power</v>
      </c>
      <c r="E30" s="30" t="str">
        <f aca="false">securities!D11</f>
        <v>Thermal Power generation</v>
      </c>
      <c r="F30" s="17" t="n">
        <f aca="false">SUMIFS(transactions!$I$2:$I$501,transactions!$C$2:$C$501,C30)</f>
        <v>853</v>
      </c>
      <c r="G30" s="29" t="n">
        <f aca="false">IFERROR(SUMIFS(transactions!$J$2:$J$501,transactions!$C$2:$C$501,C30,transactions!$D$2:$D$501,"BUY")/SUMIFS(transactions!$I$2:$I$501,transactions!$C$2:$C$501,C30,transactions!$D$2:$D$501,"BUY"),0)</f>
        <v>380.95</v>
      </c>
      <c r="H30" s="18" t="n">
        <f aca="false">F30*G30</f>
        <v>324950.35</v>
      </c>
      <c r="I30" s="22" t="n">
        <f aca="false">INDEX(prices!$B$2:$AJ$61,MATCH($B$3,prices!$A$2:$A$61,0),MATCH(C30,prices!$B$1:$AJ$1,0))</f>
        <v>314.2</v>
      </c>
      <c r="J30" s="18" t="n">
        <f aca="false">F30*I30</f>
        <v>268012.6</v>
      </c>
      <c r="K30" s="18" t="n">
        <f aca="false">J30-H30</f>
        <v>-56937.75</v>
      </c>
      <c r="L30" s="24" t="n">
        <f aca="false">IF(H30=0,0,J30/H30-1)</f>
        <v>-0.175219845124032</v>
      </c>
      <c r="M30" s="24" t="n">
        <f aca="false">J30/$B$7</f>
        <v>0.0262051970645053</v>
      </c>
      <c r="N30" s="31" t="n">
        <f aca="false">securities!E11</f>
        <v>0.0325</v>
      </c>
      <c r="O30" s="24" t="n">
        <f aca="false">M30-N30</f>
        <v>-0.00629480293549466</v>
      </c>
      <c r="P30" s="24" t="n">
        <f aca="false">K30/$B$6</f>
        <v>-0.005693775</v>
      </c>
    </row>
    <row r="31" customFormat="false" ht="15" hidden="false" customHeight="false" outlineLevel="0" collapsed="false">
      <c r="A31" s="7" t="n">
        <v>11</v>
      </c>
      <c r="B31" s="30" t="str">
        <f aca="false">securities!B12</f>
        <v>Tata Power</v>
      </c>
      <c r="C31" s="30" t="str">
        <f aca="false">securities!A12</f>
        <v>TATAPOWER</v>
      </c>
      <c r="D31" s="30" t="str">
        <f aca="false">securities!C12</f>
        <v>Power</v>
      </c>
      <c r="E31" s="30" t="str">
        <f aca="false">securities!D12</f>
        <v>T&amp;D, Generation - diversified</v>
      </c>
      <c r="F31" s="17" t="n">
        <f aca="false">SUMIFS(transactions!$I$2:$I$501,transactions!$C$2:$C$501,C31)</f>
        <v>808</v>
      </c>
      <c r="G31" s="29" t="n">
        <f aca="false">IFERROR(SUMIFS(transactions!$J$2:$J$501,transactions!$C$2:$C$501,C31,transactions!$D$2:$D$501,"BUY")/SUMIFS(transactions!$I$2:$I$501,transactions!$C$2:$C$501,C31,transactions!$D$2:$D$501,"BUY"),0)</f>
        <v>402.4</v>
      </c>
      <c r="H31" s="18" t="n">
        <f aca="false">F31*G31</f>
        <v>325139.2</v>
      </c>
      <c r="I31" s="22" t="n">
        <f aca="false">INDEX(prices!$B$2:$AJ$61,MATCH($B$3,prices!$A$2:$A$61,0),MATCH(C31,prices!$B$1:$AJ$1,0))</f>
        <v>349.75</v>
      </c>
      <c r="J31" s="18" t="n">
        <f aca="false">F31*I31</f>
        <v>282598</v>
      </c>
      <c r="K31" s="18" t="n">
        <f aca="false">J31-H31</f>
        <v>-42541.2</v>
      </c>
      <c r="L31" s="24" t="n">
        <f aca="false">IF(H31=0,0,J31/H31-1)</f>
        <v>-0.130839960238568</v>
      </c>
      <c r="M31" s="24" t="n">
        <f aca="false">J31/$B$7</f>
        <v>0.0276312989763731</v>
      </c>
      <c r="N31" s="31" t="n">
        <f aca="false">securities!E12</f>
        <v>0.0325</v>
      </c>
      <c r="O31" s="24" t="n">
        <f aca="false">M31-N31</f>
        <v>-0.00486870102362694</v>
      </c>
      <c r="P31" s="24" t="n">
        <f aca="false">K31/$B$6</f>
        <v>-0.00425412</v>
      </c>
    </row>
    <row r="32" customFormat="false" ht="15" hidden="false" customHeight="false" outlineLevel="0" collapsed="false">
      <c r="A32" s="7" t="n">
        <v>12</v>
      </c>
      <c r="B32" s="30" t="str">
        <f aca="false">securities!B13</f>
        <v>IEX</v>
      </c>
      <c r="C32" s="30" t="str">
        <f aca="false">securities!A13</f>
        <v>IEX</v>
      </c>
      <c r="D32" s="30" t="str">
        <f aca="false">securities!C13</f>
        <v>Power</v>
      </c>
      <c r="E32" s="30" t="str">
        <f aca="false">securities!D13</f>
        <v>Power Exchange</v>
      </c>
      <c r="F32" s="17" t="n">
        <f aca="false">SUMIFS(transactions!$I$2:$I$501,transactions!$C$2:$C$501,C32)</f>
        <v>414</v>
      </c>
      <c r="G32" s="29" t="n">
        <f aca="false">IFERROR(SUMIFS(transactions!$J$2:$J$501,transactions!$C$2:$C$501,C32,transactions!$D$2:$D$501,"BUY")/SUMIFS(transactions!$I$2:$I$501,transactions!$C$2:$C$501,C32,transactions!$D$2:$D$501,"BUY"),0)</f>
        <v>120.53</v>
      </c>
      <c r="H32" s="18" t="n">
        <f aca="false">F32*G32</f>
        <v>49899.42</v>
      </c>
      <c r="I32" s="22" t="n">
        <f aca="false">INDEX(prices!$B$2:$AJ$61,MATCH($B$3,prices!$A$2:$A$61,0),MATCH(C32,prices!$B$1:$AJ$1,0))</f>
        <v>108.25</v>
      </c>
      <c r="J32" s="18" t="n">
        <f aca="false">F32*I32</f>
        <v>44815.5</v>
      </c>
      <c r="K32" s="18" t="n">
        <f aca="false">J32-H32</f>
        <v>-5083.92</v>
      </c>
      <c r="L32" s="24" t="n">
        <f aca="false">IF(H32=0,0,J32/H32-1)</f>
        <v>-0.101883348543931</v>
      </c>
      <c r="M32" s="24" t="n">
        <f aca="false">J32/$B$7</f>
        <v>0.00438187984088934</v>
      </c>
      <c r="N32" s="31" t="n">
        <f aca="false">securities!E13</f>
        <v>0.005</v>
      </c>
      <c r="O32" s="24" t="n">
        <f aca="false">M32-N32</f>
        <v>-0.000618120159110656</v>
      </c>
      <c r="P32" s="24" t="n">
        <f aca="false">K32/$B$6</f>
        <v>-0.000508392</v>
      </c>
    </row>
    <row r="33" customFormat="false" ht="15" hidden="false" customHeight="false" outlineLevel="0" collapsed="false">
      <c r="A33" s="7" t="n">
        <v>13</v>
      </c>
      <c r="B33" s="30" t="str">
        <f aca="false">securities!B14</f>
        <v>Lodha Developers</v>
      </c>
      <c r="C33" s="30" t="str">
        <f aca="false">securities!A14</f>
        <v>LODHA</v>
      </c>
      <c r="D33" s="30" t="str">
        <f aca="false">securities!C14</f>
        <v>Realty</v>
      </c>
      <c r="E33" s="30" t="str">
        <f aca="false">securities!D14</f>
        <v>Retail &amp; Commercial developer</v>
      </c>
      <c r="F33" s="17" t="n">
        <f aca="false">SUMIFS(transactions!$I$2:$I$501,transactions!$C$2:$C$501,C33)</f>
        <v>251</v>
      </c>
      <c r="G33" s="29" t="n">
        <f aca="false">IFERROR(SUMIFS(transactions!$J$2:$J$501,transactions!$C$2:$C$501,C33,transactions!$D$2:$D$501,"BUY")/SUMIFS(transactions!$I$2:$I$501,transactions!$C$2:$C$501,C33,transactions!$D$2:$D$501,"BUY"),0)</f>
        <v>796.9</v>
      </c>
      <c r="H33" s="18" t="n">
        <f aca="false">F33*G33</f>
        <v>200021.9</v>
      </c>
      <c r="I33" s="22" t="n">
        <f aca="false">INDEX(prices!$B$2:$AJ$61,MATCH($B$3,prices!$A$2:$A$61,0),MATCH(C33,prices!$B$1:$AJ$1,0))</f>
        <v>1054.4</v>
      </c>
      <c r="J33" s="18" t="n">
        <f aca="false">F33*I33</f>
        <v>264654.4</v>
      </c>
      <c r="K33" s="18" t="n">
        <f aca="false">J33-H33</f>
        <v>64632.5</v>
      </c>
      <c r="L33" s="24" t="n">
        <f aca="false">IF(H33=0,0,J33/H33-1)</f>
        <v>0.323127117580625</v>
      </c>
      <c r="M33" s="24" t="n">
        <f aca="false">J33/$B$7</f>
        <v>0.0258768457378065</v>
      </c>
      <c r="N33" s="31" t="n">
        <f aca="false">securities!E14</f>
        <v>0.02</v>
      </c>
      <c r="O33" s="24" t="n">
        <f aca="false">M33-N33</f>
        <v>0.00587684573780645</v>
      </c>
      <c r="P33" s="24" t="n">
        <f aca="false">K33/$B$6</f>
        <v>0.00646325</v>
      </c>
    </row>
    <row r="34" customFormat="false" ht="15" hidden="false" customHeight="false" outlineLevel="0" collapsed="false">
      <c r="A34" s="7" t="n">
        <v>14</v>
      </c>
      <c r="B34" s="30" t="str">
        <f aca="false">securities!B15</f>
        <v>REITs (Knowledge Realty Trust)</v>
      </c>
      <c r="C34" s="30" t="str">
        <f aca="false">securities!A15</f>
        <v>KRT</v>
      </c>
      <c r="D34" s="30" t="str">
        <f aca="false">securities!C15</f>
        <v>Realty</v>
      </c>
      <c r="E34" s="30" t="str">
        <f aca="false">securities!D15</f>
        <v>REIT</v>
      </c>
      <c r="F34" s="17" t="n">
        <f aca="false">SUMIFS(transactions!$I$2:$I$501,transactions!$C$2:$C$501,C34)</f>
        <v>1708</v>
      </c>
      <c r="G34" s="29" t="n">
        <f aca="false">IFERROR(SUMIFS(transactions!$J$2:$J$501,transactions!$C$2:$C$501,C34,transactions!$D$2:$D$501,"BUY")/SUMIFS(transactions!$I$2:$I$501,transactions!$C$2:$C$501,C34,transactions!$D$2:$D$501,"BUY"),0)</f>
        <v>117.1</v>
      </c>
      <c r="H34" s="18" t="n">
        <f aca="false">F34*G34</f>
        <v>200006.8</v>
      </c>
      <c r="I34" s="22" t="n">
        <f aca="false">INDEX(prices!$B$2:$AJ$61,MATCH($B$3,prices!$A$2:$A$61,0),MATCH(C34,prices!$B$1:$AJ$1,0))</f>
        <v>116.111</v>
      </c>
      <c r="J34" s="18" t="n">
        <f aca="false">F34*I34</f>
        <v>198317.588</v>
      </c>
      <c r="K34" s="18" t="n">
        <f aca="false">J34-H34</f>
        <v>-1689.21199999997</v>
      </c>
      <c r="L34" s="24" t="n">
        <f aca="false">IF(H34=0,0,J34/H34-1)</f>
        <v>-0.00844577284372317</v>
      </c>
      <c r="M34" s="24" t="n">
        <f aca="false">J34/$B$7</f>
        <v>0.0193906983287255</v>
      </c>
      <c r="N34" s="31" t="n">
        <f aca="false">securities!E15</f>
        <v>0.02</v>
      </c>
      <c r="O34" s="24" t="n">
        <f aca="false">M34-N34</f>
        <v>-0.00060930167127448</v>
      </c>
      <c r="P34" s="24" t="n">
        <f aca="false">K34/$B$6</f>
        <v>-0.000168921199999997</v>
      </c>
    </row>
    <row r="35" customFormat="false" ht="15" hidden="false" customHeight="false" outlineLevel="0" collapsed="false">
      <c r="A35" s="7" t="n">
        <v>15</v>
      </c>
      <c r="B35" s="30" t="str">
        <f aca="false">securities!B16</f>
        <v>Wework India</v>
      </c>
      <c r="C35" s="30" t="str">
        <f aca="false">securities!A16</f>
        <v>WEWORK</v>
      </c>
      <c r="D35" s="30" t="str">
        <f aca="false">securities!C16</f>
        <v>Services</v>
      </c>
      <c r="E35" s="30" t="str">
        <f aca="false">securities!D16</f>
        <v>Workplace Services</v>
      </c>
      <c r="F35" s="17" t="n">
        <f aca="false">SUMIFS(transactions!$I$2:$I$501,transactions!$C$2:$C$501,C35)</f>
        <v>213</v>
      </c>
      <c r="G35" s="29" t="n">
        <f aca="false">IFERROR(SUMIFS(transactions!$J$2:$J$501,transactions!$C$2:$C$501,C35,transactions!$D$2:$D$501,"BUY")/SUMIFS(transactions!$I$2:$I$501,transactions!$C$2:$C$501,C35,transactions!$D$2:$D$501,"BUY"),0)</f>
        <v>470</v>
      </c>
      <c r="H35" s="18" t="n">
        <f aca="false">F35*G35</f>
        <v>100110</v>
      </c>
      <c r="I35" s="22" t="n">
        <f aca="false">INDEX(prices!$B$2:$AJ$61,MATCH($B$3,prices!$A$2:$A$61,0),MATCH(C35,prices!$B$1:$AJ$1,0))</f>
        <v>664.75</v>
      </c>
      <c r="J35" s="18" t="n">
        <f aca="false">F35*I35</f>
        <v>141591.75</v>
      </c>
      <c r="K35" s="18" t="n">
        <f aca="false">J35-H35</f>
        <v>41481.75</v>
      </c>
      <c r="L35" s="24" t="n">
        <f aca="false">IF(H35=0,0,J35/H35-1)</f>
        <v>0.41436170212766</v>
      </c>
      <c r="M35" s="24" t="n">
        <f aca="false">J35/$B$7</f>
        <v>0.0138442734090046</v>
      </c>
      <c r="N35" s="31" t="n">
        <f aca="false">securities!E16</f>
        <v>0.01</v>
      </c>
      <c r="O35" s="24" t="n">
        <f aca="false">M35-N35</f>
        <v>0.00384427340900456</v>
      </c>
      <c r="P35" s="24" t="n">
        <f aca="false">K35/$B$6</f>
        <v>0.004148175</v>
      </c>
    </row>
    <row r="36" customFormat="false" ht="15" hidden="false" customHeight="false" outlineLevel="0" collapsed="false">
      <c r="A36" s="7" t="n">
        <v>16</v>
      </c>
      <c r="B36" s="30" t="str">
        <f aca="false">securities!B17</f>
        <v>Adani Ports</v>
      </c>
      <c r="C36" s="30" t="str">
        <f aca="false">securities!A17</f>
        <v>ADANIPORTS</v>
      </c>
      <c r="D36" s="30" t="str">
        <f aca="false">securities!C17</f>
        <v>Services</v>
      </c>
      <c r="E36" s="30" t="str">
        <f aca="false">securities!D17</f>
        <v>Ports</v>
      </c>
      <c r="F36" s="17" t="n">
        <f aca="false">SUMIFS(transactions!$I$2:$I$501,transactions!$C$2:$C$501,C36)</f>
        <v>220</v>
      </c>
      <c r="G36" s="29" t="n">
        <f aca="false">IFERROR(SUMIFS(transactions!$J$2:$J$501,transactions!$C$2:$C$501,C36,transactions!$D$2:$D$501,"BUY")/SUMIFS(transactions!$I$2:$I$501,transactions!$C$2:$C$501,C36,transactions!$D$2:$D$501,"BUY"),0)</f>
        <v>1365.4</v>
      </c>
      <c r="H36" s="18" t="n">
        <f aca="false">F36*G36</f>
        <v>300388</v>
      </c>
      <c r="I36" s="22" t="n">
        <f aca="false">INDEX(prices!$B$2:$AJ$61,MATCH($B$3,prices!$A$2:$A$61,0),MATCH(C36,prices!$B$1:$AJ$1,0))</f>
        <v>1744.6</v>
      </c>
      <c r="J36" s="18" t="n">
        <f aca="false">F36*I36</f>
        <v>383812</v>
      </c>
      <c r="K36" s="18" t="n">
        <f aca="false">J36-H36</f>
        <v>83424</v>
      </c>
      <c r="L36" s="24" t="n">
        <f aca="false">IF(H36=0,0,J36/H36-1)</f>
        <v>0.277720814413359</v>
      </c>
      <c r="M36" s="24" t="n">
        <f aca="false">J36/$B$7</f>
        <v>0.0375275979402533</v>
      </c>
      <c r="N36" s="31" t="n">
        <f aca="false">securities!E17</f>
        <v>0.03</v>
      </c>
      <c r="O36" s="24" t="n">
        <f aca="false">M36-N36</f>
        <v>0.00752759794025328</v>
      </c>
      <c r="P36" s="24" t="n">
        <f aca="false">K36/$B$6</f>
        <v>0.0083424</v>
      </c>
    </row>
    <row r="37" customFormat="false" ht="15" hidden="false" customHeight="false" outlineLevel="0" collapsed="false">
      <c r="A37" s="7" t="n">
        <v>17</v>
      </c>
      <c r="B37" s="30" t="str">
        <f aca="false">securities!B18</f>
        <v>Waaree Energies</v>
      </c>
      <c r="C37" s="30" t="str">
        <f aca="false">securities!A18</f>
        <v>WAAREEENER</v>
      </c>
      <c r="D37" s="30" t="str">
        <f aca="false">securities!C18</f>
        <v>Capital Goods</v>
      </c>
      <c r="E37" s="30" t="str">
        <f aca="false">securities!D18</f>
        <v>Solar manufacturing</v>
      </c>
      <c r="F37" s="17" t="n">
        <f aca="false">SUMIFS(transactions!$I$2:$I$501,transactions!$C$2:$C$501,C37)</f>
        <v>126</v>
      </c>
      <c r="G37" s="29" t="n">
        <f aca="false">IFERROR(SUMIFS(transactions!$J$2:$J$501,transactions!$C$2:$C$501,C37,transactions!$D$2:$D$501,"BUY")/SUMIFS(transactions!$I$2:$I$501,transactions!$C$2:$C$501,C37,transactions!$D$2:$D$501,"BUY"),0)</f>
        <v>3165.9</v>
      </c>
      <c r="H37" s="18" t="n">
        <f aca="false">F37*G37</f>
        <v>398903.4</v>
      </c>
      <c r="I37" s="22" t="n">
        <f aca="false">INDEX(prices!$B$2:$AJ$61,MATCH($B$3,prices!$A$2:$A$61,0),MATCH(C37,prices!$B$1:$AJ$1,0))</f>
        <v>2493.4</v>
      </c>
      <c r="J37" s="18" t="n">
        <f aca="false">F37*I37</f>
        <v>314168.4</v>
      </c>
      <c r="K37" s="18" t="n">
        <f aca="false">J37-H37</f>
        <v>-84735</v>
      </c>
      <c r="L37" s="24" t="n">
        <f aca="false">IF(H37=0,0,J37/H37-1)</f>
        <v>-0.212419849016078</v>
      </c>
      <c r="M37" s="24" t="n">
        <f aca="false">J37/$B$7</f>
        <v>0.0307181260636266</v>
      </c>
      <c r="N37" s="31" t="n">
        <f aca="false">securities!E18</f>
        <v>0.04</v>
      </c>
      <c r="O37" s="24" t="n">
        <f aca="false">M37-N37</f>
        <v>-0.00928187393637336</v>
      </c>
      <c r="P37" s="24" t="n">
        <f aca="false">K37/$B$6</f>
        <v>-0.0084735</v>
      </c>
    </row>
    <row r="38" customFormat="false" ht="15" hidden="false" customHeight="false" outlineLevel="0" collapsed="false">
      <c r="A38" s="7" t="n">
        <v>18</v>
      </c>
      <c r="B38" s="30" t="str">
        <f aca="false">securities!B19</f>
        <v>Lemontree Hotels</v>
      </c>
      <c r="C38" s="30" t="str">
        <f aca="false">securities!A19</f>
        <v>LEMONTREE</v>
      </c>
      <c r="D38" s="30" t="str">
        <f aca="false">securities!C19</f>
        <v>Consumer Services</v>
      </c>
      <c r="E38" s="30" t="str">
        <f aca="false">securities!D19</f>
        <v>Hotels</v>
      </c>
      <c r="F38" s="17" t="n">
        <f aca="false">SUMIFS(transactions!$I$2:$I$501,transactions!$C$2:$C$501,C38)</f>
        <v>2366</v>
      </c>
      <c r="G38" s="29" t="n">
        <f aca="false">IFERROR(SUMIFS(transactions!$J$2:$J$501,transactions!$C$2:$C$501,C38,transactions!$D$2:$D$501,"BUY")/SUMIFS(transactions!$I$2:$I$501,transactions!$C$2:$C$501,C38,transactions!$D$2:$D$501,"BUY"),0)</f>
        <v>105.66</v>
      </c>
      <c r="H38" s="18" t="n">
        <f aca="false">F38*G38</f>
        <v>249991.56</v>
      </c>
      <c r="I38" s="22" t="n">
        <f aca="false">INDEX(prices!$B$2:$AJ$61,MATCH($B$3,prices!$A$2:$A$61,0),MATCH(C38,prices!$B$1:$AJ$1,0))</f>
        <v>113.41</v>
      </c>
      <c r="J38" s="18" t="n">
        <f aca="false">F38*I38</f>
        <v>268328.06</v>
      </c>
      <c r="K38" s="18" t="n">
        <f aca="false">J38-H38</f>
        <v>18336.5</v>
      </c>
      <c r="L38" s="24" t="n">
        <f aca="false">IF(H38=0,0,J38/H38-1)</f>
        <v>0.073348476244558</v>
      </c>
      <c r="M38" s="24" t="n">
        <f aca="false">J38/$B$7</f>
        <v>0.0262360414780365</v>
      </c>
      <c r="N38" s="31" t="n">
        <f aca="false">securities!E19</f>
        <v>0.025</v>
      </c>
      <c r="O38" s="24" t="n">
        <f aca="false">M38-N38</f>
        <v>0.00123604147803653</v>
      </c>
      <c r="P38" s="24" t="n">
        <f aca="false">K38/$B$6</f>
        <v>0.00183365</v>
      </c>
    </row>
    <row r="39" customFormat="false" ht="15" hidden="false" customHeight="false" outlineLevel="0" collapsed="false">
      <c r="A39" s="7" t="n">
        <v>19</v>
      </c>
      <c r="B39" s="30" t="str">
        <f aca="false">securities!B20</f>
        <v>Indian Hotels</v>
      </c>
      <c r="C39" s="30" t="str">
        <f aca="false">securities!A20</f>
        <v>INDHOTEL</v>
      </c>
      <c r="D39" s="30" t="str">
        <f aca="false">securities!C20</f>
        <v>Consumer Services</v>
      </c>
      <c r="E39" s="30" t="str">
        <f aca="false">securities!D20</f>
        <v>Hotels</v>
      </c>
      <c r="F39" s="17" t="n">
        <f aca="false">SUMIFS(transactions!$I$2:$I$501,transactions!$C$2:$C$501,C39)</f>
        <v>487</v>
      </c>
      <c r="G39" s="29" t="n">
        <f aca="false">IFERROR(SUMIFS(transactions!$J$2:$J$501,transactions!$C$2:$C$501,C39,transactions!$D$2:$D$501,"BUY")/SUMIFS(transactions!$I$2:$I$501,transactions!$C$2:$C$501,C39,transactions!$D$2:$D$501,"BUY"),0)</f>
        <v>615.55</v>
      </c>
      <c r="H39" s="18" t="n">
        <f aca="false">F39*G39</f>
        <v>299772.85</v>
      </c>
      <c r="I39" s="22" t="n">
        <f aca="false">INDEX(prices!$B$2:$AJ$61,MATCH($B$3,prices!$A$2:$A$61,0),MATCH(C39,prices!$B$1:$AJ$1,0))</f>
        <v>745</v>
      </c>
      <c r="J39" s="18" t="n">
        <f aca="false">F39*I39</f>
        <v>362815</v>
      </c>
      <c r="K39" s="18" t="n">
        <f aca="false">J39-H39</f>
        <v>63042.15</v>
      </c>
      <c r="L39" s="24" t="n">
        <f aca="false">IF(H39=0,0,J39/H39-1)</f>
        <v>0.210299731947039</v>
      </c>
      <c r="M39" s="24" t="n">
        <f aca="false">J39/$B$7</f>
        <v>0.0354745954964748</v>
      </c>
      <c r="N39" s="31" t="n">
        <f aca="false">securities!E20</f>
        <v>0.03</v>
      </c>
      <c r="O39" s="24" t="n">
        <f aca="false">M39-N39</f>
        <v>0.00547459549647483</v>
      </c>
      <c r="P39" s="24" t="n">
        <f aca="false">K39/$B$6</f>
        <v>0.006304215</v>
      </c>
    </row>
    <row r="40" customFormat="false" ht="15" hidden="false" customHeight="false" outlineLevel="0" collapsed="false">
      <c r="A40" s="7" t="n">
        <v>20</v>
      </c>
      <c r="B40" s="30" t="str">
        <f aca="false">securities!B21</f>
        <v>Eternal (Zomato)</v>
      </c>
      <c r="C40" s="30" t="str">
        <f aca="false">securities!A21</f>
        <v>ETERNAL</v>
      </c>
      <c r="D40" s="30" t="str">
        <f aca="false">securities!C21</f>
        <v>Consumer Services</v>
      </c>
      <c r="E40" s="30" t="str">
        <f aca="false">securities!D21</f>
        <v>Q - Commerce</v>
      </c>
      <c r="F40" s="17" t="n">
        <f aca="false">SUMIFS(transactions!$I$2:$I$501,transactions!$C$2:$C$501,C40)</f>
        <v>1076</v>
      </c>
      <c r="G40" s="29" t="n">
        <f aca="false">IFERROR(SUMIFS(transactions!$J$2:$J$501,transactions!$C$2:$C$501,C40,transactions!$D$2:$D$501,"BUY")/SUMIFS(transactions!$I$2:$I$501,transactions!$C$2:$C$501,C40,transactions!$D$2:$D$501,"BUY"),0)</f>
        <v>232.29</v>
      </c>
      <c r="H40" s="18" t="n">
        <f aca="false">F40*G40</f>
        <v>249944.04</v>
      </c>
      <c r="I40" s="22" t="n">
        <f aca="false">INDEX(prices!$B$2:$AJ$61,MATCH($B$3,prices!$A$2:$A$61,0),MATCH(C40,prices!$B$1:$AJ$1,0))</f>
        <v>319.6</v>
      </c>
      <c r="J40" s="18" t="n">
        <f aca="false">F40*I40</f>
        <v>343889.6</v>
      </c>
      <c r="K40" s="18" t="n">
        <f aca="false">J40-H40</f>
        <v>93945.5600000001</v>
      </c>
      <c r="L40" s="24" t="n">
        <f aca="false">IF(H40=0,0,J40/H40-1)</f>
        <v>0.375866373929141</v>
      </c>
      <c r="M40" s="24" t="n">
        <f aca="false">J40/$B$7</f>
        <v>0.0336241457917796</v>
      </c>
      <c r="N40" s="31" t="n">
        <f aca="false">securities!E21</f>
        <v>0.025</v>
      </c>
      <c r="O40" s="24" t="n">
        <f aca="false">M40-N40</f>
        <v>0.00862414579177964</v>
      </c>
      <c r="P40" s="24" t="n">
        <f aca="false">K40/$B$6</f>
        <v>0.00939455600000001</v>
      </c>
    </row>
    <row r="41" customFormat="false" ht="15" hidden="false" customHeight="false" outlineLevel="0" collapsed="false">
      <c r="A41" s="7" t="n">
        <v>21</v>
      </c>
      <c r="B41" s="30" t="str">
        <f aca="false">securities!B22</f>
        <v>Bharti Airtel</v>
      </c>
      <c r="C41" s="30" t="str">
        <f aca="false">securities!A22</f>
        <v>BHARTIARTL</v>
      </c>
      <c r="D41" s="30" t="str">
        <f aca="false">securities!C22</f>
        <v>Telecommunication</v>
      </c>
      <c r="E41" s="30" t="str">
        <f aca="false">securities!D22</f>
        <v>Telecom</v>
      </c>
      <c r="F41" s="17" t="n">
        <f aca="false">SUMIFS(transactions!$I$2:$I$501,transactions!$C$2:$C$501,C41)</f>
        <v>271</v>
      </c>
      <c r="G41" s="29" t="n">
        <f aca="false">IFERROR(SUMIFS(transactions!$J$2:$J$501,transactions!$C$2:$C$501,C41,transactions!$D$2:$D$501,"BUY")/SUMIFS(transactions!$I$2:$I$501,transactions!$C$2:$C$501,C41,transactions!$D$2:$D$501,"BUY"),0)</f>
        <v>1846.1</v>
      </c>
      <c r="H41" s="18" t="n">
        <f aca="false">F41*G41</f>
        <v>500293.1</v>
      </c>
      <c r="I41" s="22" t="n">
        <f aca="false">INDEX(prices!$B$2:$AJ$61,MATCH($B$3,prices!$A$2:$A$61,0),MATCH(C41,prices!$B$1:$AJ$1,0))</f>
        <v>1846.9</v>
      </c>
      <c r="J41" s="18" t="n">
        <f aca="false">F41*I41</f>
        <v>500509.9</v>
      </c>
      <c r="K41" s="18" t="n">
        <f aca="false">J41-H41</f>
        <v>216.800000000047</v>
      </c>
      <c r="L41" s="24" t="n">
        <f aca="false">IF(H41=0,0,J41/H41-1)</f>
        <v>0.000433345972590926</v>
      </c>
      <c r="M41" s="24" t="n">
        <f aca="false">J41/$B$7</f>
        <v>0.0489378505422352</v>
      </c>
      <c r="N41" s="31" t="n">
        <f aca="false">securities!E22</f>
        <v>0.05</v>
      </c>
      <c r="O41" s="24" t="n">
        <f aca="false">M41-N41</f>
        <v>-0.0010621494577648</v>
      </c>
      <c r="P41" s="24" t="n">
        <f aca="false">K41/$B$6</f>
        <v>2.16800000000047E-005</v>
      </c>
    </row>
    <row r="42" customFormat="false" ht="15" hidden="false" customHeight="false" outlineLevel="0" collapsed="false">
      <c r="A42" s="7" t="n">
        <v>22</v>
      </c>
      <c r="B42" s="30" t="str">
        <f aca="false">securities!B23</f>
        <v>Axis Nifty Healthcare ETF</v>
      </c>
      <c r="C42" s="30" t="str">
        <f aca="false">securities!A23</f>
        <v>AXISHEALTH</v>
      </c>
      <c r="D42" s="30" t="str">
        <f aca="false">securities!C23</f>
        <v>Healthcare</v>
      </c>
      <c r="E42" s="30" t="str">
        <f aca="false">securities!D23</f>
        <v>Healthcare diversified</v>
      </c>
      <c r="F42" s="17" t="n">
        <f aca="false">SUMIFS(transactions!$I$2:$I$501,transactions!$C$2:$C$501,C42)</f>
        <v>4773</v>
      </c>
      <c r="G42" s="29" t="n">
        <f aca="false">IFERROR(SUMIFS(transactions!$J$2:$J$501,transactions!$C$2:$C$501,C42,transactions!$D$2:$D$501,"BUY")/SUMIFS(transactions!$I$2:$I$501,transactions!$C$2:$C$501,C42,transactions!$D$2:$D$501,"BUY"),0)</f>
        <v>146.65</v>
      </c>
      <c r="H42" s="18" t="n">
        <f aca="false">F42*G42</f>
        <v>699960.45</v>
      </c>
      <c r="I42" s="22" t="n">
        <f aca="false">INDEX(prices!$B$2:$AJ$61,MATCH($B$3,prices!$A$2:$A$61,0),MATCH(C42,prices!$B$1:$AJ$1,0))</f>
        <v>160.3</v>
      </c>
      <c r="J42" s="18" t="n">
        <f aca="false">F42*I42</f>
        <v>765111.9</v>
      </c>
      <c r="K42" s="18" t="n">
        <f aca="false">J42-H42</f>
        <v>65151.45</v>
      </c>
      <c r="L42" s="24" t="n">
        <f aca="false">IF(H42=0,0,J42/H42-1)</f>
        <v>0.0930787589498805</v>
      </c>
      <c r="M42" s="24" t="n">
        <f aca="false">J42/$B$7</f>
        <v>0.0748095728182112</v>
      </c>
      <c r="N42" s="31" t="n">
        <f aca="false">securities!E23</f>
        <v>0.07</v>
      </c>
      <c r="O42" s="24" t="n">
        <f aca="false">M42-N42</f>
        <v>0.00480957281821119</v>
      </c>
      <c r="P42" s="24" t="n">
        <f aca="false">K42/$B$6</f>
        <v>0.006515145</v>
      </c>
    </row>
    <row r="43" customFormat="false" ht="15" hidden="false" customHeight="false" outlineLevel="0" collapsed="false">
      <c r="A43" s="7" t="n">
        <v>23</v>
      </c>
      <c r="B43" s="30" t="str">
        <f aca="false">securities!B24</f>
        <v>Titan</v>
      </c>
      <c r="C43" s="30" t="str">
        <f aca="false">securities!A24</f>
        <v>TITAN</v>
      </c>
      <c r="D43" s="30" t="str">
        <f aca="false">securities!C24</f>
        <v>Consumer Durables</v>
      </c>
      <c r="E43" s="30" t="str">
        <f aca="false">securities!D24</f>
        <v>Jewellery &amp; Watches</v>
      </c>
      <c r="F43" s="17" t="n">
        <f aca="false">SUMIFS(transactions!$I$2:$I$501,transactions!$C$2:$C$501,C43)</f>
        <v>73</v>
      </c>
      <c r="G43" s="29" t="n">
        <f aca="false">IFERROR(SUMIFS(transactions!$J$2:$J$501,transactions!$C$2:$C$501,C43,transactions!$D$2:$D$501,"BUY")/SUMIFS(transactions!$I$2:$I$501,transactions!$C$2:$C$501,C43,transactions!$D$2:$D$501,"BUY"),0)</f>
        <v>4106.6</v>
      </c>
      <c r="H43" s="18" t="n">
        <f aca="false">F43*G43</f>
        <v>299781.8</v>
      </c>
      <c r="I43" s="22" t="n">
        <f aca="false">INDEX(prices!$B$2:$AJ$61,MATCH($B$3,prices!$A$2:$A$61,0),MATCH(C43,prices!$B$1:$AJ$1,0))</f>
        <v>4439.6</v>
      </c>
      <c r="J43" s="18" t="n">
        <f aca="false">F43*I43</f>
        <v>324090.8</v>
      </c>
      <c r="K43" s="18" t="n">
        <f aca="false">J43-H43</f>
        <v>24309</v>
      </c>
      <c r="L43" s="24" t="n">
        <f aca="false">IF(H43=0,0,J43/H43-1)</f>
        <v>0.0810889787171869</v>
      </c>
      <c r="M43" s="24" t="n">
        <f aca="false">J43/$B$7</f>
        <v>0.0316882985381777</v>
      </c>
      <c r="N43" s="31" t="n">
        <f aca="false">securities!E24</f>
        <v>0.03</v>
      </c>
      <c r="O43" s="24" t="n">
        <f aca="false">M43-N43</f>
        <v>0.00168829853817765</v>
      </c>
      <c r="P43" s="24" t="n">
        <f aca="false">K43/$B$6</f>
        <v>0.0024309</v>
      </c>
    </row>
    <row r="44" customFormat="false" ht="15" hidden="false" customHeight="false" outlineLevel="0" collapsed="false">
      <c r="A44" s="7" t="n">
        <v>24</v>
      </c>
      <c r="B44" s="30" t="str">
        <f aca="false">securities!B25</f>
        <v>ITC Ltd</v>
      </c>
      <c r="C44" s="30" t="str">
        <f aca="false">securities!A25</f>
        <v>ITC</v>
      </c>
      <c r="D44" s="30" t="str">
        <f aca="false">securities!C25</f>
        <v>Fast Moving Consumer Goods</v>
      </c>
      <c r="E44" s="30" t="str">
        <f aca="false">securities!D25</f>
        <v>Cigarettes, FMCG &amp; Paper</v>
      </c>
      <c r="F44" s="17" t="n">
        <f aca="false">SUMIFS(transactions!$I$2:$I$501,transactions!$C$2:$C$501,C44)</f>
        <v>667</v>
      </c>
      <c r="G44" s="29" t="n">
        <f aca="false">IFERROR(SUMIFS(transactions!$J$2:$J$501,transactions!$C$2:$C$501,C44,transactions!$D$2:$D$501,"BUY")/SUMIFS(transactions!$I$2:$I$501,transactions!$C$2:$C$501,C44,transactions!$D$2:$D$501,"BUY"),0)</f>
        <v>299.95</v>
      </c>
      <c r="H44" s="18" t="n">
        <f aca="false">F44*G44</f>
        <v>200066.65</v>
      </c>
      <c r="I44" s="22" t="n">
        <f aca="false">INDEX(prices!$B$2:$AJ$61,MATCH($B$3,prices!$A$2:$A$61,0),MATCH(C44,prices!$B$1:$AJ$1,0))</f>
        <v>264.3</v>
      </c>
      <c r="J44" s="18" t="n">
        <f aca="false">F44*I44</f>
        <v>176288.1</v>
      </c>
      <c r="K44" s="18" t="n">
        <f aca="false">J44-H44</f>
        <v>-23778.55</v>
      </c>
      <c r="L44" s="24" t="n">
        <f aca="false">IF(H44=0,0,J44/H44-1)</f>
        <v>-0.118853142190365</v>
      </c>
      <c r="M44" s="24" t="n">
        <f aca="false">J44/$B$7</f>
        <v>0.0172367433494814</v>
      </c>
      <c r="N44" s="31" t="n">
        <f aca="false">securities!E25</f>
        <v>0.02</v>
      </c>
      <c r="O44" s="24" t="n">
        <f aca="false">M44-N44</f>
        <v>-0.00276325665051858</v>
      </c>
      <c r="P44" s="24" t="n">
        <f aca="false">K44/$B$6</f>
        <v>-0.002377855</v>
      </c>
    </row>
    <row r="45" customFormat="false" ht="15" hidden="false" customHeight="false" outlineLevel="0" collapsed="false">
      <c r="A45" s="7" t="n">
        <v>25</v>
      </c>
      <c r="B45" s="30" t="str">
        <f aca="false">securities!B26</f>
        <v>Fiem Industries</v>
      </c>
      <c r="C45" s="30" t="str">
        <f aca="false">securities!A26</f>
        <v>FIEMIND</v>
      </c>
      <c r="D45" s="30" t="str">
        <f aca="false">securities!C26</f>
        <v>Automobile and Auto Components</v>
      </c>
      <c r="E45" s="30" t="str">
        <f aca="false">securities!D26</f>
        <v>Auto ancilliary</v>
      </c>
      <c r="F45" s="17" t="n">
        <f aca="false">SUMIFS(transactions!$I$2:$I$501,transactions!$C$2:$C$501,C45)</f>
        <v>25</v>
      </c>
      <c r="G45" s="29" t="n">
        <f aca="false">IFERROR(SUMIFS(transactions!$J$2:$J$501,transactions!$C$2:$C$501,C45,transactions!$D$2:$D$501,"BUY")/SUMIFS(transactions!$I$2:$I$501,transactions!$C$2:$C$501,C45,transactions!$D$2:$D$501,"BUY"),0)</f>
        <v>2026.8</v>
      </c>
      <c r="H45" s="18" t="n">
        <f aca="false">F45*G45</f>
        <v>50670</v>
      </c>
      <c r="I45" s="22" t="n">
        <f aca="false">INDEX(prices!$B$2:$AJ$61,MATCH($B$3,prices!$A$2:$A$61,0),MATCH(C45,prices!$B$1:$AJ$1,0))</f>
        <v>1825</v>
      </c>
      <c r="J45" s="18" t="n">
        <f aca="false">F45*I45</f>
        <v>45625</v>
      </c>
      <c r="K45" s="18" t="n">
        <f aca="false">J45-H45</f>
        <v>-5045</v>
      </c>
      <c r="L45" s="24" t="n">
        <f aca="false">IF(H45=0,0,J45/H45-1)</f>
        <v>-0.0995658180382869</v>
      </c>
      <c r="M45" s="24" t="n">
        <f aca="false">J45/$B$7</f>
        <v>0.00446102950409069</v>
      </c>
      <c r="N45" s="31" t="n">
        <f aca="false">securities!E26</f>
        <v>0.005</v>
      </c>
      <c r="O45" s="24" t="n">
        <f aca="false">M45-N45</f>
        <v>-0.00053897049590931</v>
      </c>
      <c r="P45" s="24" t="n">
        <f aca="false">K45/$B$6</f>
        <v>-0.0005045</v>
      </c>
    </row>
    <row r="46" customFormat="false" ht="15" hidden="false" customHeight="false" outlineLevel="0" collapsed="false">
      <c r="A46" s="7" t="n">
        <v>26</v>
      </c>
      <c r="B46" s="30" t="str">
        <f aca="false">securities!B27</f>
        <v>Force Motors</v>
      </c>
      <c r="C46" s="30" t="str">
        <f aca="false">securities!A27</f>
        <v>FORCEMOT</v>
      </c>
      <c r="D46" s="30" t="str">
        <f aca="false">securities!C27</f>
        <v>Automobile and Auto Components</v>
      </c>
      <c r="E46" s="30" t="str">
        <f aca="false">securities!D27</f>
        <v>4W Auto HCV</v>
      </c>
      <c r="F46" s="17" t="n">
        <f aca="false">SUMIFS(transactions!$I$2:$I$501,transactions!$C$2:$C$501,C46)</f>
        <v>9</v>
      </c>
      <c r="G46" s="29" t="n">
        <f aca="false">IFERROR(SUMIFS(transactions!$J$2:$J$501,transactions!$C$2:$C$501,C46,transactions!$D$2:$D$501,"BUY")/SUMIFS(transactions!$I$2:$I$501,transactions!$C$2:$C$501,C46,transactions!$D$2:$D$501,"BUY"),0)</f>
        <v>21585</v>
      </c>
      <c r="H46" s="18" t="n">
        <f aca="false">F46*G46</f>
        <v>194265</v>
      </c>
      <c r="I46" s="22" t="n">
        <f aca="false">INDEX(prices!$B$2:$AJ$61,MATCH($B$3,prices!$A$2:$A$61,0),MATCH(C46,prices!$B$1:$AJ$1,0))</f>
        <v>17604</v>
      </c>
      <c r="J46" s="18" t="n">
        <f aca="false">F46*I46</f>
        <v>158436</v>
      </c>
      <c r="K46" s="18" t="n">
        <f aca="false">J46-H46</f>
        <v>-35829</v>
      </c>
      <c r="L46" s="24" t="n">
        <f aca="false">IF(H46=0,0,J46/H46-1)</f>
        <v>-0.184433634468381</v>
      </c>
      <c r="M46" s="24" t="n">
        <f aca="false">J46/$B$7</f>
        <v>0.0154912366139203</v>
      </c>
      <c r="N46" s="31" t="n">
        <f aca="false">securities!E27</f>
        <v>0.02</v>
      </c>
      <c r="O46" s="24" t="n">
        <f aca="false">M46-N46</f>
        <v>-0.00450876338607972</v>
      </c>
      <c r="P46" s="24" t="n">
        <f aca="false">K46/$B$6</f>
        <v>-0.0035829</v>
      </c>
    </row>
    <row r="47" customFormat="false" ht="15" hidden="false" customHeight="false" outlineLevel="0" collapsed="false">
      <c r="A47" s="7" t="n">
        <v>27</v>
      </c>
      <c r="B47" s="30" t="str">
        <f aca="false">securities!B28</f>
        <v>Eicher Motors</v>
      </c>
      <c r="C47" s="30" t="str">
        <f aca="false">securities!A28</f>
        <v>EICHERMOT</v>
      </c>
      <c r="D47" s="30" t="str">
        <f aca="false">securities!C28</f>
        <v>Automobile and Auto Components</v>
      </c>
      <c r="E47" s="30" t="str">
        <f aca="false">securities!D28</f>
        <v>2W Auto &amp; HCV</v>
      </c>
      <c r="F47" s="17" t="n">
        <f aca="false">SUMIFS(transactions!$I$2:$I$501,transactions!$C$2:$C$501,C47)</f>
        <v>36</v>
      </c>
      <c r="G47" s="29" t="n">
        <f aca="false">IFERROR(SUMIFS(transactions!$J$2:$J$501,transactions!$C$2:$C$501,C47,transactions!$D$2:$D$501,"BUY")/SUMIFS(transactions!$I$2:$I$501,transactions!$C$2:$C$501,C47,transactions!$D$2:$D$501,"BUY"),0)</f>
        <v>6909</v>
      </c>
      <c r="H47" s="18" t="n">
        <f aca="false">F47*G47</f>
        <v>248724</v>
      </c>
      <c r="I47" s="22" t="n">
        <f aca="false">INDEX(prices!$B$2:$AJ$61,MATCH($B$3,prices!$A$2:$A$61,0),MATCH(C47,prices!$B$1:$AJ$1,0))</f>
        <v>7237.5</v>
      </c>
      <c r="J47" s="18" t="n">
        <f aca="false">F47*I47</f>
        <v>260550</v>
      </c>
      <c r="K47" s="18" t="n">
        <f aca="false">J47-H47</f>
        <v>11826</v>
      </c>
      <c r="L47" s="24" t="n">
        <f aca="false">IF(H47=0,0,J47/H47-1)</f>
        <v>0.0475466782457663</v>
      </c>
      <c r="M47" s="24" t="n">
        <f aca="false">J47/$B$7</f>
        <v>0.0254755339680182</v>
      </c>
      <c r="N47" s="31" t="n">
        <f aca="false">securities!E28</f>
        <v>0.025</v>
      </c>
      <c r="O47" s="24" t="n">
        <f aca="false">M47-N47</f>
        <v>0.000475533968018176</v>
      </c>
      <c r="P47" s="24" t="n">
        <f aca="false">K47/$B$6</f>
        <v>0.0011826</v>
      </c>
    </row>
    <row r="48" customFormat="false" ht="15" hidden="false" customHeight="false" outlineLevel="0" collapsed="false">
      <c r="A48" s="7" t="n">
        <v>28</v>
      </c>
      <c r="B48" s="30" t="str">
        <f aca="false">securities!B29</f>
        <v>Mahindra &amp; Mahindra</v>
      </c>
      <c r="C48" s="30" t="str">
        <f aca="false">securities!A29</f>
        <v>M&amp;M</v>
      </c>
      <c r="D48" s="30" t="str">
        <f aca="false">securities!C29</f>
        <v>Automobile and Auto Components</v>
      </c>
      <c r="E48" s="30" t="str">
        <f aca="false">securities!D29</f>
        <v>4W Auto LCV</v>
      </c>
      <c r="F48" s="17" t="n">
        <f aca="false">SUMIFS(transactions!$I$2:$I$501,transactions!$C$2:$C$501,C48)</f>
        <v>82</v>
      </c>
      <c r="G48" s="29" t="n">
        <f aca="false">IFERROR(SUMIFS(transactions!$J$2:$J$501,transactions!$C$2:$C$501,C48,transactions!$D$2:$D$501,"BUY")/SUMIFS(transactions!$I$2:$I$501,transactions!$C$2:$C$501,C48,transactions!$D$2:$D$501,"BUY"),0)</f>
        <v>3066.1</v>
      </c>
      <c r="H48" s="18" t="n">
        <f aca="false">F48*G48</f>
        <v>251420.2</v>
      </c>
      <c r="I48" s="22" t="n">
        <f aca="false">INDEX(prices!$B$2:$AJ$61,MATCH($B$3,prices!$A$2:$A$61,0),MATCH(C48,prices!$B$1:$AJ$1,0))</f>
        <v>2848.4</v>
      </c>
      <c r="J48" s="18" t="n">
        <f aca="false">F48*I48</f>
        <v>233568.8</v>
      </c>
      <c r="K48" s="18" t="n">
        <f aca="false">J48-H48</f>
        <v>-17851.4</v>
      </c>
      <c r="L48" s="24" t="n">
        <f aca="false">IF(H48=0,0,J48/H48-1)</f>
        <v>-0.0710022504158375</v>
      </c>
      <c r="M48" s="24" t="n">
        <f aca="false">J48/$B$7</f>
        <v>0.0228374204500835</v>
      </c>
      <c r="N48" s="31" t="n">
        <f aca="false">securities!E29</f>
        <v>0.025</v>
      </c>
      <c r="O48" s="24" t="n">
        <f aca="false">M48-N48</f>
        <v>-0.00216257954991654</v>
      </c>
      <c r="P48" s="24" t="n">
        <f aca="false">K48/$B$6</f>
        <v>-0.00178514</v>
      </c>
    </row>
    <row r="49" customFormat="false" ht="15" hidden="false" customHeight="false" outlineLevel="0" collapsed="false">
      <c r="A49" s="7" t="n">
        <v>29</v>
      </c>
      <c r="B49" s="30" t="str">
        <f aca="false">securities!B30</f>
        <v>Ambuja Cements</v>
      </c>
      <c r="C49" s="30" t="str">
        <f aca="false">securities!A30</f>
        <v>AMBUJACEM</v>
      </c>
      <c r="D49" s="30" t="str">
        <f aca="false">securities!C30</f>
        <v>Construction Materials</v>
      </c>
      <c r="E49" s="30" t="str">
        <f aca="false">securities!D30</f>
        <v>Cement</v>
      </c>
      <c r="F49" s="17" t="n">
        <f aca="false">SUMIFS(transactions!$I$2:$I$501,transactions!$C$2:$C$501,C49)</f>
        <v>476</v>
      </c>
      <c r="G49" s="29" t="n">
        <f aca="false">IFERROR(SUMIFS(transactions!$J$2:$J$501,transactions!$C$2:$C$501,C49,transactions!$D$2:$D$501,"BUY")/SUMIFS(transactions!$I$2:$I$501,transactions!$C$2:$C$501,C49,transactions!$D$2:$D$501,"BUY"),0)</f>
        <v>420.55</v>
      </c>
      <c r="H49" s="18" t="n">
        <f aca="false">F49*G49</f>
        <v>200181.8</v>
      </c>
      <c r="I49" s="22" t="n">
        <f aca="false">INDEX(prices!$B$2:$AJ$61,MATCH($B$3,prices!$A$2:$A$61,0),MATCH(C49,prices!$B$1:$AJ$1,0))</f>
        <v>349.4</v>
      </c>
      <c r="J49" s="18" t="n">
        <f aca="false">F49*I49</f>
        <v>166314.4</v>
      </c>
      <c r="K49" s="18" t="n">
        <f aca="false">J49-H49</f>
        <v>-33867.4</v>
      </c>
      <c r="L49" s="24" t="n">
        <f aca="false">IF(H49=0,0,J49/H49-1)</f>
        <v>-0.169183212459874</v>
      </c>
      <c r="M49" s="24" t="n">
        <f aca="false">J49/$B$7</f>
        <v>0.016261554966688</v>
      </c>
      <c r="N49" s="31" t="n">
        <f aca="false">securities!E30</f>
        <v>0.02</v>
      </c>
      <c r="O49" s="24" t="n">
        <f aca="false">M49-N49</f>
        <v>-0.00373844503331199</v>
      </c>
      <c r="P49" s="24" t="n">
        <f aca="false">K49/$B$6</f>
        <v>-0.00338674</v>
      </c>
    </row>
    <row r="50" customFormat="false" ht="15" hidden="false" customHeight="false" outlineLevel="0" collapsed="false">
      <c r="A50" s="7" t="n">
        <v>30</v>
      </c>
      <c r="B50" s="30" t="str">
        <f aca="false">securities!B31</f>
        <v>Larsen &amp; Toubro</v>
      </c>
      <c r="C50" s="30" t="str">
        <f aca="false">securities!A31</f>
        <v>LT</v>
      </c>
      <c r="D50" s="30" t="str">
        <f aca="false">securities!C31</f>
        <v>Construction</v>
      </c>
      <c r="E50" s="30" t="str">
        <f aca="false">securities!D31</f>
        <v>Construction - Diversified</v>
      </c>
      <c r="F50" s="17" t="n">
        <f aca="false">SUMIFS(transactions!$I$2:$I$501,transactions!$C$2:$C$501,C50)</f>
        <v>58</v>
      </c>
      <c r="G50" s="29" t="n">
        <f aca="false">IFERROR(SUMIFS(transactions!$J$2:$J$501,transactions!$C$2:$C$501,C50,transactions!$D$2:$D$501,"BUY")/SUMIFS(transactions!$I$2:$I$501,transactions!$C$2:$C$501,C50,transactions!$D$2:$D$501,"BUY"),0)</f>
        <v>3434.8</v>
      </c>
      <c r="H50" s="18" t="n">
        <f aca="false">F50*G50</f>
        <v>199218.4</v>
      </c>
      <c r="I50" s="22" t="n">
        <f aca="false">INDEX(prices!$B$2:$AJ$61,MATCH($B$3,prices!$A$2:$A$61,0),MATCH(C50,prices!$B$1:$AJ$1,0))</f>
        <v>3648.7</v>
      </c>
      <c r="J50" s="18" t="n">
        <f aca="false">F50*I50</f>
        <v>211624.6</v>
      </c>
      <c r="K50" s="18" t="n">
        <f aca="false">J50-H50</f>
        <v>12406.2</v>
      </c>
      <c r="L50" s="24" t="n">
        <f aca="false">IF(H50=0,0,J50/H50-1)</f>
        <v>0.0622743682310467</v>
      </c>
      <c r="M50" s="24" t="n">
        <f aca="false">J50/$B$7</f>
        <v>0.0206918045894003</v>
      </c>
      <c r="N50" s="31" t="n">
        <f aca="false">securities!E31</f>
        <v>0.02</v>
      </c>
      <c r="O50" s="24" t="n">
        <f aca="false">M50-N50</f>
        <v>0.000691804589400342</v>
      </c>
      <c r="P50" s="24" t="n">
        <f aca="false">K50/$B$6</f>
        <v>0.00124062</v>
      </c>
    </row>
    <row r="51" customFormat="false" ht="15" hidden="false" customHeight="false" outlineLevel="0" collapsed="false">
      <c r="A51" s="7" t="n">
        <v>31</v>
      </c>
      <c r="B51" s="30" t="str">
        <f aca="false">securities!B32</f>
        <v>Vedanta Ltd</v>
      </c>
      <c r="C51" s="30" t="str">
        <f aca="false">securities!A32</f>
        <v>VEDL</v>
      </c>
      <c r="D51" s="30" t="str">
        <f aca="false">securities!C32</f>
        <v>Metals &amp; Mining</v>
      </c>
      <c r="E51" s="30" t="str">
        <f aca="false">securities!D32</f>
        <v>Explortion, Extracting and Processing</v>
      </c>
      <c r="F51" s="17" t="n">
        <f aca="false">SUMIFS(transactions!$I$2:$I$501,transactions!$C$2:$C$501,C51)</f>
        <v>298</v>
      </c>
      <c r="G51" s="29" t="n">
        <f aca="false">IFERROR(SUMIFS(transactions!$J$2:$J$501,transactions!$C$2:$C$501,C51,transactions!$D$2:$D$501,"BUY")/SUMIFS(transactions!$I$2:$I$501,transactions!$C$2:$C$501,C51,transactions!$D$2:$D$501,"BUY"),0)</f>
        <v>336.25</v>
      </c>
      <c r="H51" s="18" t="n">
        <f aca="false">F51*G51</f>
        <v>100202.5</v>
      </c>
      <c r="I51" s="22" t="n">
        <f aca="false">INDEX(prices!$B$2:$AJ$61,MATCH($B$3,prices!$A$2:$A$61,0),MATCH(C51,prices!$B$1:$AJ$1,0))</f>
        <v>245.4</v>
      </c>
      <c r="J51" s="18" t="n">
        <f aca="false">F51*I51</f>
        <v>73129.2</v>
      </c>
      <c r="K51" s="18" t="n">
        <f aca="false">J51-H51</f>
        <v>-27073.3</v>
      </c>
      <c r="L51" s="24" t="n">
        <f aca="false">IF(H51=0,0,J51/H51-1)</f>
        <v>-0.270185873605948</v>
      </c>
      <c r="M51" s="24" t="n">
        <f aca="false">J51/$B$7</f>
        <v>0.0071502798643408</v>
      </c>
      <c r="N51" s="31" t="n">
        <f aca="false">securities!E32</f>
        <v>0.02</v>
      </c>
      <c r="O51" s="24" t="n">
        <f aca="false">M51-N51</f>
        <v>-0.0128497201356592</v>
      </c>
      <c r="P51" s="24" t="n">
        <f aca="false">K51/$B$6</f>
        <v>-0.00270733</v>
      </c>
    </row>
    <row r="52" customFormat="false" ht="15" hidden="false" customHeight="false" outlineLevel="0" collapsed="false">
      <c r="A52" s="7" t="n">
        <v>32</v>
      </c>
      <c r="B52" s="30" t="str">
        <f aca="false">securities!B33</f>
        <v>Vedanta Aluminium Metal</v>
      </c>
      <c r="C52" s="30" t="str">
        <f aca="false">securities!A33</f>
        <v>VEDL-AL</v>
      </c>
      <c r="D52" s="30" t="str">
        <f aca="false">securities!C33</f>
        <v>Metals &amp; Mining</v>
      </c>
      <c r="E52" s="30" t="str">
        <f aca="false">securities!D33</f>
        <v>Vedanta demerged entity</v>
      </c>
      <c r="F52" s="17" t="n">
        <f aca="false">SUMIFS(transactions!$I$2:$I$501,transactions!$C$2:$C$501,C52)</f>
        <v>298</v>
      </c>
      <c r="G52" s="29" t="n">
        <f aca="false">IFERROR(SUMIFS(transactions!$J$2:$J$501,transactions!$C$2:$C$501,C52,transactions!$D$2:$D$501,"BUY")/SUMIFS(transactions!$I$2:$I$501,transactions!$C$2:$C$501,C52,transactions!$D$2:$D$501,"BUY"),0)</f>
        <v>84.0625</v>
      </c>
      <c r="H52" s="18" t="n">
        <f aca="false">F52*G52</f>
        <v>25050.625</v>
      </c>
      <c r="I52" s="22" t="n">
        <f aca="false">INDEX(prices!$B$2:$AJ$61,MATCH($B$3,prices!$A$2:$A$61,0),MATCH(C52,prices!$B$1:$AJ$1,0))</f>
        <v>359</v>
      </c>
      <c r="J52" s="18" t="n">
        <f aca="false">F52*I52</f>
        <v>106982</v>
      </c>
      <c r="K52" s="18" t="n">
        <f aca="false">J52-H52</f>
        <v>81931.375</v>
      </c>
      <c r="L52" s="24" t="n">
        <f aca="false">IF(H52=0,0,J52/H52-1)</f>
        <v>3.27063197026022</v>
      </c>
      <c r="M52" s="24" t="n">
        <f aca="false">J52/$B$7</f>
        <v>0.0104602708691864</v>
      </c>
      <c r="N52" s="31" t="n">
        <f aca="false">securities!E33</f>
        <v>0</v>
      </c>
      <c r="O52" s="24" t="n">
        <f aca="false">M52-N52</f>
        <v>0.0104602708691864</v>
      </c>
      <c r="P52" s="24" t="n">
        <f aca="false">K52/$B$6</f>
        <v>0.0081931375</v>
      </c>
    </row>
    <row r="53" customFormat="false" ht="15" hidden="false" customHeight="false" outlineLevel="0" collapsed="false">
      <c r="A53" s="7" t="n">
        <v>33</v>
      </c>
      <c r="B53" s="30" t="str">
        <f aca="false">securities!B34</f>
        <v>Talwandi Sabo Power (Vedanta Power)</v>
      </c>
      <c r="C53" s="30" t="str">
        <f aca="false">securities!A34</f>
        <v>VEDL-PWR</v>
      </c>
      <c r="D53" s="30" t="str">
        <f aca="false">securities!C34</f>
        <v>Metals &amp; Mining</v>
      </c>
      <c r="E53" s="30" t="str">
        <f aca="false">securities!D34</f>
        <v>Vedanta demerged entity</v>
      </c>
      <c r="F53" s="17" t="n">
        <f aca="false">SUMIFS(transactions!$I$2:$I$501,transactions!$C$2:$C$501,C53)</f>
        <v>298</v>
      </c>
      <c r="G53" s="29" t="n">
        <f aca="false">IFERROR(SUMIFS(transactions!$J$2:$J$501,transactions!$C$2:$C$501,C53,transactions!$D$2:$D$501,"BUY")/SUMIFS(transactions!$I$2:$I$501,transactions!$C$2:$C$501,C53,transactions!$D$2:$D$501,"BUY"),0)</f>
        <v>84.0625</v>
      </c>
      <c r="H53" s="18" t="n">
        <f aca="false">F53*G53</f>
        <v>25050.625</v>
      </c>
      <c r="I53" s="22" t="n">
        <f aca="false">INDEX(prices!$B$2:$AJ$61,MATCH($B$3,prices!$A$2:$A$61,0),MATCH(C53,prices!$B$1:$AJ$1,0))</f>
        <v>32.43</v>
      </c>
      <c r="J53" s="18" t="n">
        <f aca="false">F53*I53</f>
        <v>9664.14</v>
      </c>
      <c r="K53" s="18" t="n">
        <f aca="false">J53-H53</f>
        <v>-15386.485</v>
      </c>
      <c r="L53" s="24" t="n">
        <f aca="false">IF(H53=0,0,J53/H53-1)</f>
        <v>-0.6142156133829</v>
      </c>
      <c r="M53" s="24" t="n">
        <f aca="false">J53/$B$7</f>
        <v>0.000944920847598093</v>
      </c>
      <c r="N53" s="31" t="n">
        <f aca="false">securities!E34</f>
        <v>0</v>
      </c>
      <c r="O53" s="24" t="n">
        <f aca="false">M53-N53</f>
        <v>0.000944920847598093</v>
      </c>
      <c r="P53" s="24" t="n">
        <f aca="false">K53/$B$6</f>
        <v>-0.0015386485</v>
      </c>
    </row>
    <row r="54" customFormat="false" ht="15" hidden="false" customHeight="false" outlineLevel="0" collapsed="false">
      <c r="A54" s="7" t="n">
        <v>34</v>
      </c>
      <c r="B54" s="30" t="str">
        <f aca="false">securities!B35</f>
        <v>Vedanta oil &amp; gas</v>
      </c>
      <c r="C54" s="30" t="str">
        <f aca="false">securities!A35</f>
        <v>VEDL-OG</v>
      </c>
      <c r="D54" s="30" t="str">
        <f aca="false">securities!C35</f>
        <v>Metals &amp; Mining</v>
      </c>
      <c r="E54" s="30" t="str">
        <f aca="false">securities!D35</f>
        <v>Vedanta demerged entity</v>
      </c>
      <c r="F54" s="17" t="n">
        <f aca="false">SUMIFS(transactions!$I$2:$I$501,transactions!$C$2:$C$501,C54)</f>
        <v>298</v>
      </c>
      <c r="G54" s="29" t="n">
        <f aca="false">IFERROR(SUMIFS(transactions!$J$2:$J$501,transactions!$C$2:$C$501,C54,transactions!$D$2:$D$501,"BUY")/SUMIFS(transactions!$I$2:$I$501,transactions!$C$2:$C$501,C54,transactions!$D$2:$D$501,"BUY"),0)</f>
        <v>84.0625</v>
      </c>
      <c r="H54" s="18" t="n">
        <f aca="false">F54*G54</f>
        <v>25050.625</v>
      </c>
      <c r="I54" s="22" t="n">
        <f aca="false">INDEX(prices!$B$2:$AJ$61,MATCH($B$3,prices!$A$2:$A$61,0),MATCH(C54,prices!$B$1:$AJ$1,0))</f>
        <v>31.5</v>
      </c>
      <c r="J54" s="18" t="n">
        <f aca="false">F54*I54</f>
        <v>9387</v>
      </c>
      <c r="K54" s="18" t="n">
        <f aca="false">J54-H54</f>
        <v>-15663.625</v>
      </c>
      <c r="L54" s="24" t="n">
        <f aca="false">IF(H54=0,0,J54/H54-1)</f>
        <v>-0.625278810408922</v>
      </c>
      <c r="M54" s="24" t="n">
        <f aca="false">J54/$B$7</f>
        <v>0.000917823209970396</v>
      </c>
      <c r="N54" s="31" t="n">
        <f aca="false">securities!E35</f>
        <v>0</v>
      </c>
      <c r="O54" s="24" t="n">
        <f aca="false">M54-N54</f>
        <v>0.000917823209970396</v>
      </c>
      <c r="P54" s="24" t="n">
        <f aca="false">K54/$B$6</f>
        <v>-0.0015663625</v>
      </c>
    </row>
    <row r="55" customFormat="false" ht="15" hidden="false" customHeight="false" outlineLevel="0" collapsed="false">
      <c r="A55" s="7" t="n">
        <v>35</v>
      </c>
      <c r="B55" s="30" t="str">
        <f aca="false">securities!B36</f>
        <v>Vedanta Iron &amp; Steel</v>
      </c>
      <c r="C55" s="30" t="str">
        <f aca="false">securities!A36</f>
        <v>VEDL-IS</v>
      </c>
      <c r="D55" s="30" t="str">
        <f aca="false">securities!C36</f>
        <v>Metals &amp; Mining</v>
      </c>
      <c r="E55" s="30" t="str">
        <f aca="false">securities!D36</f>
        <v>Vedanta demerged entity</v>
      </c>
      <c r="F55" s="17" t="n">
        <f aca="false">SUMIFS(transactions!$I$2:$I$501,transactions!$C$2:$C$501,C55)</f>
        <v>298</v>
      </c>
      <c r="G55" s="29" t="n">
        <f aca="false">IFERROR(SUMIFS(transactions!$J$2:$J$501,transactions!$C$2:$C$501,C55,transactions!$D$2:$D$501,"BUY")/SUMIFS(transactions!$I$2:$I$501,transactions!$C$2:$C$501,C55,transactions!$D$2:$D$501,"BUY"),0)</f>
        <v>84.0625</v>
      </c>
      <c r="H55" s="18" t="n">
        <f aca="false">F55*G55</f>
        <v>25050.625</v>
      </c>
      <c r="I55" s="22" t="n">
        <f aca="false">INDEX(prices!$B$2:$AJ$61,MATCH($B$3,prices!$A$2:$A$61,0),MATCH(C55,prices!$B$1:$AJ$1,0))</f>
        <v>29.55</v>
      </c>
      <c r="J55" s="18" t="n">
        <f aca="false">F55*I55</f>
        <v>8805.9</v>
      </c>
      <c r="K55" s="18" t="n">
        <f aca="false">J55-H55</f>
        <v>-16244.725</v>
      </c>
      <c r="L55" s="24" t="n">
        <f aca="false">IF(H55=0,0,J55/H55-1)</f>
        <v>-0.648475836431227</v>
      </c>
      <c r="M55" s="24" t="n">
        <f aca="false">J55/$B$7</f>
        <v>0.000861005582686514</v>
      </c>
      <c r="N55" s="31" t="n">
        <f aca="false">securities!E36</f>
        <v>0</v>
      </c>
      <c r="O55" s="24" t="n">
        <f aca="false">M55-N55</f>
        <v>0.000861005582686514</v>
      </c>
      <c r="P55" s="24" t="n">
        <f aca="false">K55/$B$6</f>
        <v>-0.0016244725</v>
      </c>
    </row>
    <row r="56" customFormat="false" ht="15" hidden="false" customHeight="false" outlineLevel="0" collapsed="false">
      <c r="B56" s="5" t="s">
        <v>310</v>
      </c>
      <c r="H56" s="32" t="n">
        <f aca="false">SUM(H21:H55)</f>
        <v>9995812.17</v>
      </c>
      <c r="J56" s="32" t="n">
        <f aca="false">SUM(J21:J55)</f>
        <v>10223271.988</v>
      </c>
      <c r="K56" s="32" t="n">
        <f aca="false">SUM(K21:K55)</f>
        <v>227459.818</v>
      </c>
      <c r="L56" s="13" t="n">
        <f aca="false">IF(H56=0,0,J56/H56-1)</f>
        <v>0.0227555114213396</v>
      </c>
      <c r="M56" s="13" t="n">
        <f aca="false">SUM(M21:M55)</f>
        <v>0.999590530779439</v>
      </c>
      <c r="N56" s="13" t="n">
        <f aca="false">SUM(N21:N55)</f>
        <v>1</v>
      </c>
      <c r="P56" s="13" t="n">
        <f aca="false">SUM(P21:P55)</f>
        <v>0.0227459818</v>
      </c>
    </row>
    <row r="57" customFormat="false" ht="15" hidden="false" customHeight="false" outlineLevel="0" collapsed="false">
      <c r="B57" s="5" t="s">
        <v>311</v>
      </c>
      <c r="J57" s="32" t="n">
        <f aca="false">B16</f>
        <v>4187.83000000007</v>
      </c>
      <c r="M57" s="13" t="n">
        <f aca="false">J57/$B$7</f>
        <v>0.000409469220561456</v>
      </c>
    </row>
    <row r="58" customFormat="false" ht="15" hidden="false" customHeight="false" outlineLevel="0" collapsed="false">
      <c r="B58" s="5" t="s">
        <v>312</v>
      </c>
      <c r="J58" s="32" t="n">
        <f aca="false">J56+J57</f>
        <v>10227459.818</v>
      </c>
      <c r="M58" s="13" t="n">
        <f aca="false">M56+M57</f>
        <v>1</v>
      </c>
    </row>
    <row r="60" customFormat="false" ht="15" hidden="false" customHeight="false" outlineLevel="0" collapsed="false">
      <c r="A60" s="25" t="s">
        <v>313</v>
      </c>
    </row>
    <row r="61" customFormat="false" ht="35.05" hidden="false" customHeight="false" outlineLevel="0" collapsed="false">
      <c r="A61" s="10" t="s">
        <v>297</v>
      </c>
      <c r="B61" s="10" t="s">
        <v>301</v>
      </c>
      <c r="C61" s="10" t="s">
        <v>303</v>
      </c>
      <c r="D61" s="10" t="s">
        <v>314</v>
      </c>
      <c r="E61" s="10" t="s">
        <v>306</v>
      </c>
      <c r="F61" s="10" t="s">
        <v>315</v>
      </c>
      <c r="G61" s="10" t="s">
        <v>308</v>
      </c>
      <c r="H61" s="10" t="s">
        <v>309</v>
      </c>
      <c r="I61" s="10" t="s">
        <v>316</v>
      </c>
      <c r="J61" s="10" t="s">
        <v>317</v>
      </c>
    </row>
    <row r="62" customFormat="false" ht="15" hidden="false" customHeight="false" outlineLevel="0" collapsed="false">
      <c r="A62" s="11" t="s">
        <v>44</v>
      </c>
      <c r="B62" s="18" t="n">
        <f aca="false">SUMIFS($H$21:$H$55,$D$21:$D$55,A62)</f>
        <v>3400509.55</v>
      </c>
      <c r="C62" s="18" t="n">
        <f aca="false">SUMIFS($J$21:$J$55,$D$21:$D$55,A62)</f>
        <v>3490856.35</v>
      </c>
      <c r="D62" s="24" t="n">
        <f aca="false">IF(B62=0,0,C62/B62-1)</f>
        <v>0.0265686064607582</v>
      </c>
      <c r="E62" s="24" t="n">
        <f aca="false">C62/$B$7</f>
        <v>0.341321932534627</v>
      </c>
      <c r="F62" s="24" t="n">
        <f aca="false">SUMIFS($N$21:$N$55,$D$21:$D$55,A62)</f>
        <v>0.34</v>
      </c>
      <c r="G62" s="24" t="n">
        <f aca="false">E62-F62</f>
        <v>0.00132193253462654</v>
      </c>
      <c r="H62" s="24" t="n">
        <f aca="false">SUMIFS($P$21:$P$55,$D$21:$D$55,A62)</f>
        <v>0.00903468000000001</v>
      </c>
      <c r="I62" s="12" t="n">
        <v>0.34</v>
      </c>
      <c r="J62" s="24" t="n">
        <f aca="false">IF(I62="","no thesis sheet",F62-I62)</f>
        <v>0</v>
      </c>
    </row>
    <row r="63" customFormat="false" ht="15" hidden="false" customHeight="false" outlineLevel="0" collapsed="false">
      <c r="A63" s="11" t="s">
        <v>68</v>
      </c>
      <c r="B63" s="18" t="n">
        <f aca="false">SUMIFS($H$21:$H$55,$D$21:$D$55,A63)</f>
        <v>851188.7</v>
      </c>
      <c r="C63" s="18" t="n">
        <f aca="false">SUMIFS($J$21:$J$55,$D$21:$D$55,A63)</f>
        <v>809325</v>
      </c>
      <c r="D63" s="24" t="n">
        <f aca="false">IF(B63=0,0,C63/B63-1)</f>
        <v>-0.0491826313013791</v>
      </c>
      <c r="E63" s="24" t="n">
        <f aca="false">C63/$B$7</f>
        <v>0.0791325524032482</v>
      </c>
      <c r="F63" s="24" t="n">
        <f aca="false">SUMIFS($N$21:$N$55,$D$21:$D$55,A63)</f>
        <v>0.085</v>
      </c>
      <c r="G63" s="24" t="n">
        <f aca="false">E63-F63</f>
        <v>-0.00586744759675184</v>
      </c>
      <c r="H63" s="24" t="n">
        <f aca="false">SUMIFS($P$21:$P$55,$D$21:$D$55,A63)</f>
        <v>-0.00418637000000001</v>
      </c>
      <c r="I63" s="12" t="n">
        <v>0.09</v>
      </c>
      <c r="J63" s="24" t="n">
        <f aca="false">IF(I63="","no thesis sheet",F63-I63)</f>
        <v>-0.00499999999999999</v>
      </c>
    </row>
    <row r="64" customFormat="false" ht="15" hidden="false" customHeight="false" outlineLevel="0" collapsed="false">
      <c r="A64" s="11" t="s">
        <v>77</v>
      </c>
      <c r="B64" s="18" t="n">
        <f aca="false">SUMIFS($H$21:$H$55,$D$21:$D$55,A64)</f>
        <v>699988.97</v>
      </c>
      <c r="C64" s="18" t="n">
        <f aca="false">SUMIFS($J$21:$J$55,$D$21:$D$55,A64)</f>
        <v>595426.1</v>
      </c>
      <c r="D64" s="24" t="n">
        <f aca="false">IF(B64=0,0,C64/B64-1)</f>
        <v>-0.14937788234006</v>
      </c>
      <c r="E64" s="24" t="n">
        <f aca="false">C64/$B$7</f>
        <v>0.0582183758817678</v>
      </c>
      <c r="F64" s="24" t="n">
        <f aca="false">SUMIFS($N$21:$N$55,$D$21:$D$55,A64)</f>
        <v>0.07</v>
      </c>
      <c r="G64" s="24" t="n">
        <f aca="false">E64-F64</f>
        <v>-0.0117816241182323</v>
      </c>
      <c r="H64" s="24" t="n">
        <f aca="false">SUMIFS($P$21:$P$55,$D$21:$D$55,A64)</f>
        <v>-0.010456287</v>
      </c>
      <c r="I64" s="12" t="n">
        <v>0.07</v>
      </c>
      <c r="J64" s="24" t="n">
        <f aca="false">IF(I64="","no thesis sheet",F64-I64)</f>
        <v>0</v>
      </c>
    </row>
    <row r="65" customFormat="false" ht="15" hidden="false" customHeight="false" outlineLevel="0" collapsed="false">
      <c r="A65" s="11" t="s">
        <v>89</v>
      </c>
      <c r="B65" s="18" t="n">
        <f aca="false">SUMIFS($H$21:$H$55,$D$21:$D$55,A65)</f>
        <v>400028.7</v>
      </c>
      <c r="C65" s="18" t="n">
        <f aca="false">SUMIFS($J$21:$J$55,$D$21:$D$55,A65)</f>
        <v>462971.988</v>
      </c>
      <c r="D65" s="24" t="n">
        <f aca="false">IF(B65=0,0,C65/B65-1)</f>
        <v>0.157346930357747</v>
      </c>
      <c r="E65" s="24" t="n">
        <f aca="false">C65/$B$7</f>
        <v>0.045267544066532</v>
      </c>
      <c r="F65" s="24" t="n">
        <f aca="false">SUMIFS($N$21:$N$55,$D$21:$D$55,A65)</f>
        <v>0.04</v>
      </c>
      <c r="G65" s="24" t="n">
        <f aca="false">E65-F65</f>
        <v>0.00526754406653197</v>
      </c>
      <c r="H65" s="24" t="n">
        <f aca="false">SUMIFS($P$21:$P$55,$D$21:$D$55,A65)</f>
        <v>0.00629432880000001</v>
      </c>
      <c r="I65" s="12" t="n">
        <v>0.06</v>
      </c>
      <c r="J65" s="24" t="n">
        <f aca="false">IF(I65="","no thesis sheet",F65-I65)</f>
        <v>-0.02</v>
      </c>
    </row>
    <row r="66" customFormat="false" ht="15" hidden="false" customHeight="false" outlineLevel="0" collapsed="false">
      <c r="A66" s="11" t="s">
        <v>97</v>
      </c>
      <c r="B66" s="18" t="n">
        <f aca="false">SUMIFS($H$21:$H$55,$D$21:$D$55,A66)</f>
        <v>400498</v>
      </c>
      <c r="C66" s="18" t="n">
        <f aca="false">SUMIFS($J$21:$J$55,$D$21:$D$55,A66)</f>
        <v>525403.75</v>
      </c>
      <c r="D66" s="24" t="n">
        <f aca="false">IF(B66=0,0,C66/B66-1)</f>
        <v>0.31187608926886</v>
      </c>
      <c r="E66" s="24" t="n">
        <f aca="false">C66/$B$7</f>
        <v>0.0513718713492578</v>
      </c>
      <c r="F66" s="24" t="n">
        <f aca="false">SUMIFS($N$21:$N$55,$D$21:$D$55,A66)</f>
        <v>0.04</v>
      </c>
      <c r="G66" s="24" t="n">
        <f aca="false">E66-F66</f>
        <v>0.0113718713492578</v>
      </c>
      <c r="H66" s="24" t="n">
        <f aca="false">SUMIFS($P$21:$P$55,$D$21:$D$55,A66)</f>
        <v>0.012490575</v>
      </c>
      <c r="I66" s="12" t="n">
        <v>0.06</v>
      </c>
      <c r="J66" s="24" t="n">
        <f aca="false">IF(I66="","no thesis sheet",F66-I66)</f>
        <v>-0.02</v>
      </c>
    </row>
    <row r="67" customFormat="false" ht="15" hidden="false" customHeight="false" outlineLevel="0" collapsed="false">
      <c r="A67" s="11" t="s">
        <v>106</v>
      </c>
      <c r="B67" s="18" t="n">
        <f aca="false">SUMIFS($H$21:$H$55,$D$21:$D$55,A67)</f>
        <v>398903.4</v>
      </c>
      <c r="C67" s="18" t="n">
        <f aca="false">SUMIFS($J$21:$J$55,$D$21:$D$55,A67)</f>
        <v>314168.4</v>
      </c>
      <c r="D67" s="24" t="n">
        <f aca="false">IF(B67=0,0,C67/B67-1)</f>
        <v>-0.212419849016078</v>
      </c>
      <c r="E67" s="24" t="n">
        <f aca="false">C67/$B$7</f>
        <v>0.0307181260636266</v>
      </c>
      <c r="F67" s="24" t="n">
        <f aca="false">SUMIFS($N$21:$N$55,$D$21:$D$55,A67)</f>
        <v>0.04</v>
      </c>
      <c r="G67" s="24" t="n">
        <f aca="false">E67-F67</f>
        <v>-0.00928187393637336</v>
      </c>
      <c r="H67" s="24" t="n">
        <f aca="false">SUMIFS($P$21:$P$55,$D$21:$D$55,A67)</f>
        <v>-0.0084735</v>
      </c>
      <c r="I67" s="12" t="n">
        <v>0.05</v>
      </c>
      <c r="J67" s="24" t="n">
        <f aca="false">IF(I67="","no thesis sheet",F67-I67)</f>
        <v>-0.01</v>
      </c>
    </row>
    <row r="68" customFormat="false" ht="15" hidden="false" customHeight="false" outlineLevel="0" collapsed="false">
      <c r="A68" s="11" t="s">
        <v>111</v>
      </c>
      <c r="B68" s="18" t="n">
        <f aca="false">SUMIFS($H$21:$H$55,$D$21:$D$55,A68)</f>
        <v>799708.45</v>
      </c>
      <c r="C68" s="18" t="n">
        <f aca="false">SUMIFS($J$21:$J$55,$D$21:$D$55,A68)</f>
        <v>975032.66</v>
      </c>
      <c r="D68" s="24" t="n">
        <f aca="false">IF(B68=0,0,C68/B68-1)</f>
        <v>0.219235160013628</v>
      </c>
      <c r="E68" s="24" t="n">
        <f aca="false">C68/$B$7</f>
        <v>0.095334782766291</v>
      </c>
      <c r="F68" s="24" t="n">
        <f aca="false">SUMIFS($N$21:$N$55,$D$21:$D$55,A68)</f>
        <v>0.08</v>
      </c>
      <c r="G68" s="24" t="n">
        <f aca="false">E68-F68</f>
        <v>0.015334782766291</v>
      </c>
      <c r="H68" s="24" t="n">
        <f aca="false">SUMIFS($P$21:$P$55,$D$21:$D$55,A68)</f>
        <v>0.017532421</v>
      </c>
      <c r="I68" s="12" t="n">
        <v>0.08</v>
      </c>
      <c r="J68" s="24" t="n">
        <f aca="false">IF(I68="","no thesis sheet",F68-I68)</f>
        <v>0</v>
      </c>
    </row>
    <row r="69" customFormat="false" ht="15" hidden="false" customHeight="false" outlineLevel="0" collapsed="false">
      <c r="A69" s="11" t="s">
        <v>123</v>
      </c>
      <c r="B69" s="18" t="n">
        <f aca="false">SUMIFS($H$21:$H$55,$D$21:$D$55,A69)</f>
        <v>500293.1</v>
      </c>
      <c r="C69" s="18" t="n">
        <f aca="false">SUMIFS($J$21:$J$55,$D$21:$D$55,A69)</f>
        <v>500509.9</v>
      </c>
      <c r="D69" s="24" t="n">
        <f aca="false">IF(B69=0,0,C69/B69-1)</f>
        <v>0.000433345972590926</v>
      </c>
      <c r="E69" s="24" t="n">
        <f aca="false">C69/$B$7</f>
        <v>0.0489378505422352</v>
      </c>
      <c r="F69" s="24" t="n">
        <f aca="false">SUMIFS($N$21:$N$55,$D$21:$D$55,A69)</f>
        <v>0.05</v>
      </c>
      <c r="G69" s="24" t="n">
        <f aca="false">E69-F69</f>
        <v>-0.0010621494577648</v>
      </c>
      <c r="H69" s="24" t="n">
        <f aca="false">SUMIFS($P$21:$P$55,$D$21:$D$55,A69)</f>
        <v>2.16800000000047E-005</v>
      </c>
      <c r="I69" s="12" t="n">
        <v>0.04</v>
      </c>
      <c r="J69" s="24" t="n">
        <f aca="false">IF(I69="","no thesis sheet",F69-I69)</f>
        <v>0.01</v>
      </c>
    </row>
    <row r="70" customFormat="false" ht="15" hidden="false" customHeight="false" outlineLevel="0" collapsed="false">
      <c r="A70" s="11" t="s">
        <v>128</v>
      </c>
      <c r="B70" s="18" t="n">
        <f aca="false">SUMIFS($H$21:$H$55,$D$21:$D$55,A70)</f>
        <v>699960.45</v>
      </c>
      <c r="C70" s="18" t="n">
        <f aca="false">SUMIFS($J$21:$J$55,$D$21:$D$55,A70)</f>
        <v>765111.9</v>
      </c>
      <c r="D70" s="24" t="n">
        <f aca="false">IF(B70=0,0,C70/B70-1)</f>
        <v>0.0930787589498805</v>
      </c>
      <c r="E70" s="24" t="n">
        <f aca="false">C70/$B$7</f>
        <v>0.0748095728182112</v>
      </c>
      <c r="F70" s="24" t="n">
        <f aca="false">SUMIFS($N$21:$N$55,$D$21:$D$55,A70)</f>
        <v>0.07</v>
      </c>
      <c r="G70" s="24" t="n">
        <f aca="false">E70-F70</f>
        <v>0.00480957281821119</v>
      </c>
      <c r="H70" s="24" t="n">
        <f aca="false">SUMIFS($P$21:$P$55,$D$21:$D$55,A70)</f>
        <v>0.006515145</v>
      </c>
      <c r="I70" s="12" t="n">
        <v>0.05</v>
      </c>
      <c r="J70" s="24" t="n">
        <f aca="false">IF(I70="","no thesis sheet",F70-I70)</f>
        <v>0.02</v>
      </c>
    </row>
    <row r="71" customFormat="false" ht="15" hidden="false" customHeight="false" outlineLevel="0" collapsed="false">
      <c r="A71" s="11" t="s">
        <v>132</v>
      </c>
      <c r="B71" s="18" t="n">
        <f aca="false">SUMIFS($H$21:$H$55,$D$21:$D$55,A71)</f>
        <v>299781.8</v>
      </c>
      <c r="C71" s="18" t="n">
        <f aca="false">SUMIFS($J$21:$J$55,$D$21:$D$55,A71)</f>
        <v>324090.8</v>
      </c>
      <c r="D71" s="24" t="n">
        <f aca="false">IF(B71=0,0,C71/B71-1)</f>
        <v>0.0810889787171869</v>
      </c>
      <c r="E71" s="24" t="n">
        <f aca="false">C71/$B$7</f>
        <v>0.0316882985381777</v>
      </c>
      <c r="F71" s="24" t="n">
        <f aca="false">SUMIFS($N$21:$N$55,$D$21:$D$55,A71)</f>
        <v>0.03</v>
      </c>
      <c r="G71" s="24" t="n">
        <f aca="false">E71-F71</f>
        <v>0.00168829853817765</v>
      </c>
      <c r="H71" s="24" t="n">
        <f aca="false">SUMIFS($P$21:$P$55,$D$21:$D$55,A71)</f>
        <v>0.0024309</v>
      </c>
      <c r="J71" s="24" t="str">
        <f aca="false">IF(I71="","no thesis sheet",F71-I71)</f>
        <v>no thesis sheet</v>
      </c>
    </row>
    <row r="72" customFormat="false" ht="15" hidden="false" customHeight="false" outlineLevel="0" collapsed="false">
      <c r="A72" s="11" t="s">
        <v>137</v>
      </c>
      <c r="B72" s="18" t="n">
        <f aca="false">SUMIFS($H$21:$H$55,$D$21:$D$55,A72)</f>
        <v>200066.65</v>
      </c>
      <c r="C72" s="18" t="n">
        <f aca="false">SUMIFS($J$21:$J$55,$D$21:$D$55,A72)</f>
        <v>176288.1</v>
      </c>
      <c r="D72" s="24" t="n">
        <f aca="false">IF(B72=0,0,C72/B72-1)</f>
        <v>-0.118853142190365</v>
      </c>
      <c r="E72" s="24" t="n">
        <f aca="false">C72/$B$7</f>
        <v>0.0172367433494814</v>
      </c>
      <c r="F72" s="24" t="n">
        <f aca="false">SUMIFS($N$21:$N$55,$D$21:$D$55,A72)</f>
        <v>0.02</v>
      </c>
      <c r="G72" s="24" t="n">
        <f aca="false">E72-F72</f>
        <v>-0.00276325665051858</v>
      </c>
      <c r="H72" s="24" t="n">
        <f aca="false">SUMIFS($P$21:$P$55,$D$21:$D$55,A72)</f>
        <v>-0.002377855</v>
      </c>
      <c r="J72" s="24" t="str">
        <f aca="false">IF(I72="","no thesis sheet",F72-I72)</f>
        <v>no thesis sheet</v>
      </c>
    </row>
    <row r="73" customFormat="false" ht="15" hidden="false" customHeight="false" outlineLevel="0" collapsed="false">
      <c r="A73" s="11" t="s">
        <v>142</v>
      </c>
      <c r="B73" s="18" t="n">
        <f aca="false">SUMIFS($H$21:$H$55,$D$21:$D$55,A73)</f>
        <v>745079.2</v>
      </c>
      <c r="C73" s="18" t="n">
        <f aca="false">SUMIFS($J$21:$J$55,$D$21:$D$55,A73)</f>
        <v>698179.8</v>
      </c>
      <c r="D73" s="24" t="n">
        <f aca="false">IF(B73=0,0,C73/B73-1)</f>
        <v>-0.0629455231068051</v>
      </c>
      <c r="E73" s="24" t="n">
        <f aca="false">C73/$B$7</f>
        <v>0.0682652205361126</v>
      </c>
      <c r="F73" s="24" t="n">
        <f aca="false">SUMIFS($N$21:$N$55,$D$21:$D$55,A73)</f>
        <v>0.075</v>
      </c>
      <c r="G73" s="24" t="n">
        <f aca="false">E73-F73</f>
        <v>-0.0067347794638874</v>
      </c>
      <c r="H73" s="24" t="n">
        <f aca="false">SUMIFS($P$21:$P$55,$D$21:$D$55,A73)</f>
        <v>-0.00468994</v>
      </c>
      <c r="I73" s="12" t="n">
        <v>0.08</v>
      </c>
      <c r="J73" s="24" t="n">
        <f aca="false">IF(I73="","no thesis sheet",F73-I73)</f>
        <v>-0.005</v>
      </c>
    </row>
    <row r="74" customFormat="false" ht="15" hidden="false" customHeight="false" outlineLevel="0" collapsed="false">
      <c r="A74" s="11" t="s">
        <v>159</v>
      </c>
      <c r="B74" s="18" t="n">
        <f aca="false">SUMIFS($H$21:$H$55,$D$21:$D$55,A74)</f>
        <v>200181.8</v>
      </c>
      <c r="C74" s="18" t="n">
        <f aca="false">SUMIFS($J$21:$J$55,$D$21:$D$55,A74)</f>
        <v>166314.4</v>
      </c>
      <c r="D74" s="24" t="n">
        <f aca="false">IF(B74=0,0,C74/B74-1)</f>
        <v>-0.169183212459874</v>
      </c>
      <c r="E74" s="24" t="n">
        <f aca="false">C74/$B$7</f>
        <v>0.016261554966688</v>
      </c>
      <c r="F74" s="24" t="n">
        <f aca="false">SUMIFS($N$21:$N$55,$D$21:$D$55,A74)</f>
        <v>0.02</v>
      </c>
      <c r="G74" s="24" t="n">
        <f aca="false">E74-F74</f>
        <v>-0.00373844503331199</v>
      </c>
      <c r="H74" s="24" t="n">
        <f aca="false">SUMIFS($P$21:$P$55,$D$21:$D$55,A74)</f>
        <v>-0.00338674</v>
      </c>
      <c r="I74" s="12" t="n">
        <v>0.04</v>
      </c>
      <c r="J74" s="24" t="n">
        <f aca="false">IF(I74="","no thesis sheet",F74-I74)</f>
        <v>-0.02</v>
      </c>
    </row>
    <row r="75" customFormat="false" ht="15" hidden="false" customHeight="false" outlineLevel="0" collapsed="false">
      <c r="A75" s="11" t="s">
        <v>164</v>
      </c>
      <c r="B75" s="18" t="n">
        <f aca="false">SUMIFS($H$21:$H$55,$D$21:$D$55,A75)</f>
        <v>199218.4</v>
      </c>
      <c r="C75" s="18" t="n">
        <f aca="false">SUMIFS($J$21:$J$55,$D$21:$D$55,A75)</f>
        <v>211624.6</v>
      </c>
      <c r="D75" s="24" t="n">
        <f aca="false">IF(B75=0,0,C75/B75-1)</f>
        <v>0.0622743682310467</v>
      </c>
      <c r="E75" s="24" t="n">
        <f aca="false">C75/$B$7</f>
        <v>0.0206918045894003</v>
      </c>
      <c r="F75" s="24" t="n">
        <f aca="false">SUMIFS($N$21:$N$55,$D$21:$D$55,A75)</f>
        <v>0.02</v>
      </c>
      <c r="G75" s="24" t="n">
        <f aca="false">E75-F75</f>
        <v>0.000691804589400342</v>
      </c>
      <c r="H75" s="24" t="n">
        <f aca="false">SUMIFS($P$21:$P$55,$D$21:$D$55,A75)</f>
        <v>0.00124062</v>
      </c>
      <c r="J75" s="24" t="str">
        <f aca="false">IF(I75="","no thesis sheet",F75-I75)</f>
        <v>no thesis sheet</v>
      </c>
    </row>
    <row r="76" customFormat="false" ht="15" hidden="false" customHeight="false" outlineLevel="0" collapsed="false">
      <c r="A76" s="11" t="s">
        <v>169</v>
      </c>
      <c r="B76" s="18" t="n">
        <f aca="false">SUMIFS($H$21:$H$55,$D$21:$D$55,A76)</f>
        <v>200405</v>
      </c>
      <c r="C76" s="18" t="n">
        <f aca="false">SUMIFS($J$21:$J$55,$D$21:$D$55,A76)</f>
        <v>207968.24</v>
      </c>
      <c r="D76" s="24" t="n">
        <f aca="false">IF(B76=0,0,C76/B76-1)</f>
        <v>0.0377397769516727</v>
      </c>
      <c r="E76" s="24" t="n">
        <f aca="false">C76/$B$7</f>
        <v>0.0203343003737822</v>
      </c>
      <c r="F76" s="24" t="n">
        <f aca="false">SUMIFS($N$21:$N$55,$D$21:$D$55,A76)</f>
        <v>0.02</v>
      </c>
      <c r="G76" s="24" t="n">
        <f aca="false">E76-F76</f>
        <v>0.000334300373782216</v>
      </c>
      <c r="H76" s="24" t="n">
        <f aca="false">SUMIFS($P$21:$P$55,$D$21:$D$55,A76)</f>
        <v>0.000756323999999999</v>
      </c>
      <c r="I76" s="12" t="n">
        <v>0.04</v>
      </c>
      <c r="J76" s="24" t="n">
        <f aca="false">IF(I76="","no thesis sheet",F76-I76)</f>
        <v>-0.02</v>
      </c>
    </row>
    <row r="77" customFormat="false" ht="15" hidden="false" customHeight="false" outlineLevel="0" collapsed="false">
      <c r="A77" s="5" t="s">
        <v>318</v>
      </c>
      <c r="B77" s="32" t="n">
        <f aca="false">SUM(B62:B76)</f>
        <v>9995812.17</v>
      </c>
      <c r="C77" s="32" t="n">
        <f aca="false">SUM(C62:C76)</f>
        <v>10223271.988</v>
      </c>
      <c r="E77" s="13" t="n">
        <f aca="false">SUM(E62:E76)</f>
        <v>0.999590530779439</v>
      </c>
      <c r="F77" s="13" t="n">
        <f aca="false">SUM(F62:F76)</f>
        <v>1</v>
      </c>
      <c r="H77" s="13" t="n">
        <f aca="false">SUM(H62:H76)</f>
        <v>0.0227459818</v>
      </c>
      <c r="I77" s="13" t="n">
        <f aca="false">SUM(I62:I76)</f>
        <v>1</v>
      </c>
    </row>
    <row r="79" customFormat="false" ht="15" hidden="false" customHeight="false" outlineLevel="0" collapsed="false">
      <c r="A79" s="7"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4" min="3" style="0" width="14"/>
    <col collapsed="false" customWidth="true" hidden="false" outlineLevel="0" max="6" min="5" style="0" width="16"/>
    <col collapsed="false" customWidth="true" hidden="false" outlineLevel="0" max="7" min="7" style="0" width="100"/>
  </cols>
  <sheetData>
    <row r="1" customFormat="false" ht="15" hidden="false" customHeight="false" outlineLevel="0" collapsed="false">
      <c r="A1" s="10" t="s">
        <v>189</v>
      </c>
      <c r="B1" s="10" t="s">
        <v>185</v>
      </c>
      <c r="C1" s="10" t="s">
        <v>34</v>
      </c>
      <c r="D1" s="10" t="s">
        <v>320</v>
      </c>
      <c r="E1" s="10" t="s">
        <v>321</v>
      </c>
      <c r="F1" s="10" t="s">
        <v>322</v>
      </c>
      <c r="G1" s="10" t="s">
        <v>323</v>
      </c>
    </row>
    <row r="2" customFormat="false" ht="15" hidden="false" customHeight="false" outlineLevel="0" collapsed="false">
      <c r="A2" s="11" t="s">
        <v>194</v>
      </c>
      <c r="B2" s="14" t="n">
        <v>46101</v>
      </c>
      <c r="C2" s="11" t="s">
        <v>42</v>
      </c>
      <c r="D2" s="11" t="s">
        <v>324</v>
      </c>
      <c r="E2" s="33" t="n">
        <v>0</v>
      </c>
      <c r="F2" s="34" t="n">
        <f aca="false">ROUND(securities!E2*100,2)</f>
        <v>5</v>
      </c>
      <c r="G2" s="11" t="s">
        <v>325</v>
      </c>
    </row>
    <row r="3" customFormat="false" ht="15" hidden="false" customHeight="false" outlineLevel="0" collapsed="false">
      <c r="A3" s="11" t="s">
        <v>197</v>
      </c>
      <c r="B3" s="14" t="n">
        <v>46101</v>
      </c>
      <c r="C3" s="11" t="s">
        <v>47</v>
      </c>
      <c r="D3" s="11" t="s">
        <v>324</v>
      </c>
      <c r="E3" s="33" t="n">
        <v>0</v>
      </c>
      <c r="F3" s="34" t="n">
        <f aca="false">ROUND(securities!E3*100,2)</f>
        <v>8</v>
      </c>
      <c r="G3" s="11" t="s">
        <v>325</v>
      </c>
    </row>
    <row r="4" customFormat="false" ht="15" hidden="false" customHeight="false" outlineLevel="0" collapsed="false">
      <c r="A4" s="11" t="s">
        <v>199</v>
      </c>
      <c r="B4" s="14" t="n">
        <v>46101</v>
      </c>
      <c r="C4" s="11" t="s">
        <v>50</v>
      </c>
      <c r="D4" s="11" t="s">
        <v>324</v>
      </c>
      <c r="E4" s="33" t="n">
        <v>0</v>
      </c>
      <c r="F4" s="34" t="n">
        <f aca="false">ROUND(securities!E4*100,2)</f>
        <v>7</v>
      </c>
      <c r="G4" s="11" t="s">
        <v>325</v>
      </c>
    </row>
    <row r="5" customFormat="false" ht="15" hidden="false" customHeight="false" outlineLevel="0" collapsed="false">
      <c r="A5" s="11" t="s">
        <v>201</v>
      </c>
      <c r="B5" s="14" t="n">
        <v>46101</v>
      </c>
      <c r="C5" s="11" t="s">
        <v>54</v>
      </c>
      <c r="D5" s="11" t="s">
        <v>324</v>
      </c>
      <c r="E5" s="33" t="n">
        <v>0</v>
      </c>
      <c r="F5" s="34" t="n">
        <f aca="false">ROUND(securities!E5*100,2)</f>
        <v>5</v>
      </c>
      <c r="G5" s="11" t="s">
        <v>325</v>
      </c>
    </row>
    <row r="6" customFormat="false" ht="15" hidden="false" customHeight="false" outlineLevel="0" collapsed="false">
      <c r="A6" s="11" t="s">
        <v>203</v>
      </c>
      <c r="B6" s="14" t="n">
        <v>46101</v>
      </c>
      <c r="C6" s="11" t="s">
        <v>58</v>
      </c>
      <c r="D6" s="11" t="s">
        <v>324</v>
      </c>
      <c r="E6" s="33" t="n">
        <v>0</v>
      </c>
      <c r="F6" s="34" t="n">
        <f aca="false">ROUND(securities!E6*100,2)</f>
        <v>5</v>
      </c>
      <c r="G6" s="11" t="s">
        <v>325</v>
      </c>
    </row>
    <row r="7" customFormat="false" ht="15" hidden="false" customHeight="false" outlineLevel="0" collapsed="false">
      <c r="A7" s="11" t="s">
        <v>205</v>
      </c>
      <c r="B7" s="14" t="n">
        <v>46101</v>
      </c>
      <c r="C7" s="11" t="s">
        <v>62</v>
      </c>
      <c r="D7" s="11" t="s">
        <v>324</v>
      </c>
      <c r="E7" s="33" t="n">
        <v>0</v>
      </c>
      <c r="F7" s="34" t="n">
        <f aca="false">ROUND(securities!E7*100,2)</f>
        <v>4</v>
      </c>
      <c r="G7" s="11" t="s">
        <v>325</v>
      </c>
    </row>
    <row r="8" customFormat="false" ht="15" hidden="false" customHeight="false" outlineLevel="0" collapsed="false">
      <c r="A8" s="11" t="s">
        <v>207</v>
      </c>
      <c r="B8" s="14" t="n">
        <v>46101</v>
      </c>
      <c r="C8" s="11" t="s">
        <v>66</v>
      </c>
      <c r="D8" s="11" t="s">
        <v>324</v>
      </c>
      <c r="E8" s="33" t="n">
        <v>0</v>
      </c>
      <c r="F8" s="34" t="n">
        <f aca="false">ROUND(securities!E8*100,2)</f>
        <v>3.5</v>
      </c>
      <c r="G8" s="11" t="s">
        <v>326</v>
      </c>
    </row>
    <row r="9" customFormat="false" ht="15" hidden="false" customHeight="false" outlineLevel="0" collapsed="false">
      <c r="A9" s="11" t="s">
        <v>209</v>
      </c>
      <c r="B9" s="14" t="n">
        <v>46101</v>
      </c>
      <c r="C9" s="11" t="s">
        <v>71</v>
      </c>
      <c r="D9" s="11" t="s">
        <v>324</v>
      </c>
      <c r="E9" s="33" t="n">
        <v>0</v>
      </c>
      <c r="F9" s="34" t="n">
        <f aca="false">ROUND(securities!E9*100,2)</f>
        <v>3.5</v>
      </c>
      <c r="G9" s="11" t="s">
        <v>326</v>
      </c>
    </row>
    <row r="10" customFormat="false" ht="15" hidden="false" customHeight="false" outlineLevel="0" collapsed="false">
      <c r="A10" s="11" t="s">
        <v>211</v>
      </c>
      <c r="B10" s="14" t="n">
        <v>46101</v>
      </c>
      <c r="C10" s="11" t="s">
        <v>73</v>
      </c>
      <c r="D10" s="11" t="s">
        <v>324</v>
      </c>
      <c r="E10" s="33" t="n">
        <v>0</v>
      </c>
      <c r="F10" s="34" t="n">
        <f aca="false">ROUND(securities!E10*100,2)</f>
        <v>1.5</v>
      </c>
      <c r="G10" s="11" t="s">
        <v>326</v>
      </c>
    </row>
    <row r="11" customFormat="false" ht="15" hidden="false" customHeight="false" outlineLevel="0" collapsed="false">
      <c r="A11" s="11" t="s">
        <v>213</v>
      </c>
      <c r="B11" s="14" t="n">
        <v>46101</v>
      </c>
      <c r="C11" s="11" t="s">
        <v>76</v>
      </c>
      <c r="D11" s="11" t="s">
        <v>324</v>
      </c>
      <c r="E11" s="33" t="n">
        <v>0</v>
      </c>
      <c r="F11" s="34" t="n">
        <f aca="false">ROUND(securities!E11*100,2)</f>
        <v>3.25</v>
      </c>
      <c r="G11" s="11" t="s">
        <v>327</v>
      </c>
    </row>
    <row r="12" customFormat="false" ht="15" hidden="false" customHeight="false" outlineLevel="0" collapsed="false">
      <c r="A12" s="11" t="s">
        <v>215</v>
      </c>
      <c r="B12" s="14" t="n">
        <v>46101</v>
      </c>
      <c r="C12" s="11" t="s">
        <v>80</v>
      </c>
      <c r="D12" s="11" t="s">
        <v>324</v>
      </c>
      <c r="E12" s="33" t="n">
        <v>0</v>
      </c>
      <c r="F12" s="34" t="n">
        <f aca="false">ROUND(securities!E12*100,2)</f>
        <v>3.25</v>
      </c>
      <c r="G12" s="11" t="s">
        <v>327</v>
      </c>
    </row>
    <row r="13" customFormat="false" ht="15" hidden="false" customHeight="false" outlineLevel="0" collapsed="false">
      <c r="A13" s="11" t="s">
        <v>217</v>
      </c>
      <c r="B13" s="14" t="n">
        <v>46101</v>
      </c>
      <c r="C13" s="11" t="s">
        <v>84</v>
      </c>
      <c r="D13" s="11" t="s">
        <v>324</v>
      </c>
      <c r="E13" s="33" t="n">
        <v>0</v>
      </c>
      <c r="F13" s="34" t="n">
        <f aca="false">ROUND(securities!E13*100,2)</f>
        <v>0.5</v>
      </c>
      <c r="G13" s="11" t="s">
        <v>327</v>
      </c>
    </row>
    <row r="14" customFormat="false" ht="15" hidden="false" customHeight="false" outlineLevel="0" collapsed="false">
      <c r="A14" s="11" t="s">
        <v>219</v>
      </c>
      <c r="B14" s="14" t="n">
        <v>46101</v>
      </c>
      <c r="C14" s="11" t="s">
        <v>87</v>
      </c>
      <c r="D14" s="11" t="s">
        <v>324</v>
      </c>
      <c r="E14" s="33" t="n">
        <v>0</v>
      </c>
      <c r="F14" s="34" t="n">
        <f aca="false">ROUND(securities!E14*100,2)</f>
        <v>2</v>
      </c>
      <c r="G14" s="11" t="s">
        <v>328</v>
      </c>
    </row>
    <row r="15" customFormat="false" ht="15" hidden="false" customHeight="false" outlineLevel="0" collapsed="false">
      <c r="A15" s="11" t="s">
        <v>221</v>
      </c>
      <c r="B15" s="14" t="n">
        <v>46101</v>
      </c>
      <c r="C15" s="11" t="s">
        <v>92</v>
      </c>
      <c r="D15" s="11" t="s">
        <v>324</v>
      </c>
      <c r="E15" s="33" t="n">
        <v>0</v>
      </c>
      <c r="F15" s="34" t="n">
        <f aca="false">ROUND(securities!E15*100,2)</f>
        <v>2</v>
      </c>
      <c r="G15" s="11" t="s">
        <v>328</v>
      </c>
    </row>
    <row r="16" customFormat="false" ht="15" hidden="false" customHeight="false" outlineLevel="0" collapsed="false">
      <c r="A16" s="11" t="s">
        <v>223</v>
      </c>
      <c r="B16" s="14" t="n">
        <v>46101</v>
      </c>
      <c r="C16" s="11" t="s">
        <v>95</v>
      </c>
      <c r="D16" s="11" t="s">
        <v>324</v>
      </c>
      <c r="E16" s="33" t="n">
        <v>0</v>
      </c>
      <c r="F16" s="34" t="n">
        <f aca="false">ROUND(securities!E16*100,2)</f>
        <v>1</v>
      </c>
      <c r="G16" s="11" t="s">
        <v>329</v>
      </c>
    </row>
    <row r="17" customFormat="false" ht="15" hidden="false" customHeight="false" outlineLevel="0" collapsed="false">
      <c r="A17" s="11" t="s">
        <v>225</v>
      </c>
      <c r="B17" s="14" t="n">
        <v>46101</v>
      </c>
      <c r="C17" s="11" t="s">
        <v>100</v>
      </c>
      <c r="D17" s="11" t="s">
        <v>324</v>
      </c>
      <c r="E17" s="33" t="n">
        <v>0</v>
      </c>
      <c r="F17" s="34" t="n">
        <f aca="false">ROUND(securities!E17*100,2)</f>
        <v>3</v>
      </c>
      <c r="G17" s="11" t="s">
        <v>329</v>
      </c>
    </row>
    <row r="18" customFormat="false" ht="15" hidden="false" customHeight="false" outlineLevel="0" collapsed="false">
      <c r="A18" s="11" t="s">
        <v>227</v>
      </c>
      <c r="B18" s="14" t="n">
        <v>46101</v>
      </c>
      <c r="C18" s="11" t="s">
        <v>104</v>
      </c>
      <c r="D18" s="11" t="s">
        <v>324</v>
      </c>
      <c r="E18" s="33" t="n">
        <v>0</v>
      </c>
      <c r="F18" s="34" t="n">
        <f aca="false">ROUND(securities!E18*100,2)</f>
        <v>4</v>
      </c>
      <c r="G18" s="11" t="s">
        <v>330</v>
      </c>
    </row>
    <row r="19" customFormat="false" ht="15" hidden="false" customHeight="false" outlineLevel="0" collapsed="false">
      <c r="A19" s="11" t="s">
        <v>229</v>
      </c>
      <c r="B19" s="14" t="n">
        <v>46101</v>
      </c>
      <c r="C19" s="11" t="s">
        <v>109</v>
      </c>
      <c r="D19" s="11" t="s">
        <v>324</v>
      </c>
      <c r="E19" s="33" t="n">
        <v>0</v>
      </c>
      <c r="F19" s="34" t="n">
        <f aca="false">ROUND(securities!E19*100,2)</f>
        <v>2.5</v>
      </c>
      <c r="G19" s="11" t="s">
        <v>331</v>
      </c>
    </row>
    <row r="20" customFormat="false" ht="15" hidden="false" customHeight="false" outlineLevel="0" collapsed="false">
      <c r="A20" s="11" t="s">
        <v>231</v>
      </c>
      <c r="B20" s="14" t="n">
        <v>46101</v>
      </c>
      <c r="C20" s="11" t="s">
        <v>114</v>
      </c>
      <c r="D20" s="11" t="s">
        <v>324</v>
      </c>
      <c r="E20" s="33" t="n">
        <v>0</v>
      </c>
      <c r="F20" s="34" t="n">
        <f aca="false">ROUND(securities!E20*100,2)</f>
        <v>3</v>
      </c>
      <c r="G20" s="11" t="s">
        <v>331</v>
      </c>
    </row>
    <row r="21" customFormat="false" ht="15" hidden="false" customHeight="false" outlineLevel="0" collapsed="false">
      <c r="A21" s="11" t="s">
        <v>233</v>
      </c>
      <c r="B21" s="14" t="n">
        <v>46101</v>
      </c>
      <c r="C21" s="11" t="s">
        <v>117</v>
      </c>
      <c r="D21" s="11" t="s">
        <v>324</v>
      </c>
      <c r="E21" s="33" t="n">
        <v>0</v>
      </c>
      <c r="F21" s="34" t="n">
        <f aca="false">ROUND(securities!E21*100,2)</f>
        <v>2.5</v>
      </c>
      <c r="G21" s="11" t="s">
        <v>331</v>
      </c>
    </row>
    <row r="22" customFormat="false" ht="15" hidden="false" customHeight="false" outlineLevel="0" collapsed="false">
      <c r="A22" s="11" t="s">
        <v>235</v>
      </c>
      <c r="B22" s="14" t="n">
        <v>46101</v>
      </c>
      <c r="C22" s="11" t="s">
        <v>121</v>
      </c>
      <c r="D22" s="11" t="s">
        <v>324</v>
      </c>
      <c r="E22" s="33" t="n">
        <v>0</v>
      </c>
      <c r="F22" s="34" t="n">
        <f aca="false">ROUND(securities!E22*100,2)</f>
        <v>5</v>
      </c>
      <c r="G22" s="11" t="s">
        <v>332</v>
      </c>
    </row>
    <row r="23" customFormat="false" ht="15" hidden="false" customHeight="false" outlineLevel="0" collapsed="false">
      <c r="A23" s="11" t="s">
        <v>237</v>
      </c>
      <c r="B23" s="14" t="n">
        <v>46101</v>
      </c>
      <c r="C23" s="11" t="s">
        <v>126</v>
      </c>
      <c r="D23" s="11" t="s">
        <v>324</v>
      </c>
      <c r="E23" s="33" t="n">
        <v>0</v>
      </c>
      <c r="F23" s="34" t="n">
        <f aca="false">ROUND(securities!E23*100,2)</f>
        <v>7</v>
      </c>
      <c r="G23" s="11" t="s">
        <v>333</v>
      </c>
    </row>
    <row r="24" customFormat="false" ht="15" hidden="false" customHeight="false" outlineLevel="0" collapsed="false">
      <c r="A24" s="11" t="s">
        <v>239</v>
      </c>
      <c r="B24" s="14" t="n">
        <v>46101</v>
      </c>
      <c r="C24" s="11" t="s">
        <v>130</v>
      </c>
      <c r="D24" s="11" t="s">
        <v>324</v>
      </c>
      <c r="E24" s="33" t="n">
        <v>0</v>
      </c>
      <c r="F24" s="34" t="n">
        <f aca="false">ROUND(securities!E24*100,2)</f>
        <v>3</v>
      </c>
      <c r="G24" s="11" t="s">
        <v>334</v>
      </c>
    </row>
    <row r="25" customFormat="false" ht="15" hidden="false" customHeight="false" outlineLevel="0" collapsed="false">
      <c r="A25" s="11" t="s">
        <v>241</v>
      </c>
      <c r="B25" s="14" t="n">
        <v>46101</v>
      </c>
      <c r="C25" s="11" t="s">
        <v>135</v>
      </c>
      <c r="D25" s="11" t="s">
        <v>324</v>
      </c>
      <c r="E25" s="33" t="n">
        <v>0</v>
      </c>
      <c r="F25" s="34" t="n">
        <f aca="false">ROUND(securities!E25*100,2)</f>
        <v>2</v>
      </c>
      <c r="G25" s="11" t="s">
        <v>335</v>
      </c>
    </row>
    <row r="26" customFormat="false" ht="15" hidden="false" customHeight="false" outlineLevel="0" collapsed="false">
      <c r="A26" s="11" t="s">
        <v>243</v>
      </c>
      <c r="B26" s="14" t="n">
        <v>46101</v>
      </c>
      <c r="C26" s="11" t="s">
        <v>140</v>
      </c>
      <c r="D26" s="11" t="s">
        <v>324</v>
      </c>
      <c r="E26" s="33" t="n">
        <v>0</v>
      </c>
      <c r="F26" s="34" t="n">
        <f aca="false">ROUND(securities!E26*100,2)</f>
        <v>0.5</v>
      </c>
      <c r="G26" s="11" t="s">
        <v>336</v>
      </c>
    </row>
    <row r="27" customFormat="false" ht="15" hidden="false" customHeight="false" outlineLevel="0" collapsed="false">
      <c r="A27" s="11" t="s">
        <v>245</v>
      </c>
      <c r="B27" s="14" t="n">
        <v>46101</v>
      </c>
      <c r="C27" s="11" t="s">
        <v>145</v>
      </c>
      <c r="D27" s="11" t="s">
        <v>324</v>
      </c>
      <c r="E27" s="33" t="n">
        <v>0</v>
      </c>
      <c r="F27" s="34" t="n">
        <f aca="false">ROUND(securities!E27*100,2)</f>
        <v>2</v>
      </c>
      <c r="G27" s="11" t="s">
        <v>336</v>
      </c>
    </row>
    <row r="28" customFormat="false" ht="15" hidden="false" customHeight="false" outlineLevel="0" collapsed="false">
      <c r="A28" s="11" t="s">
        <v>247</v>
      </c>
      <c r="B28" s="14" t="n">
        <v>46101</v>
      </c>
      <c r="C28" s="11" t="s">
        <v>149</v>
      </c>
      <c r="D28" s="11" t="s">
        <v>324</v>
      </c>
      <c r="E28" s="33" t="n">
        <v>0</v>
      </c>
      <c r="F28" s="34" t="n">
        <f aca="false">ROUND(securities!E28*100,2)</f>
        <v>2.5</v>
      </c>
      <c r="G28" s="11" t="s">
        <v>336</v>
      </c>
    </row>
    <row r="29" customFormat="false" ht="15" hidden="false" customHeight="false" outlineLevel="0" collapsed="false">
      <c r="A29" s="11" t="s">
        <v>249</v>
      </c>
      <c r="B29" s="14" t="n">
        <v>46101</v>
      </c>
      <c r="C29" s="11" t="s">
        <v>153</v>
      </c>
      <c r="D29" s="11" t="s">
        <v>324</v>
      </c>
      <c r="E29" s="33" t="n">
        <v>0</v>
      </c>
      <c r="F29" s="34" t="n">
        <f aca="false">ROUND(securities!E29*100,2)</f>
        <v>2.5</v>
      </c>
      <c r="G29" s="11" t="s">
        <v>336</v>
      </c>
    </row>
    <row r="30" customFormat="false" ht="15" hidden="false" customHeight="false" outlineLevel="0" collapsed="false">
      <c r="A30" s="11" t="s">
        <v>251</v>
      </c>
      <c r="B30" s="14" t="n">
        <v>46101</v>
      </c>
      <c r="C30" s="11" t="s">
        <v>157</v>
      </c>
      <c r="D30" s="11" t="s">
        <v>324</v>
      </c>
      <c r="E30" s="33" t="n">
        <v>0</v>
      </c>
      <c r="F30" s="34" t="n">
        <f aca="false">ROUND(securities!E30*100,2)</f>
        <v>2</v>
      </c>
      <c r="G30" s="11" t="s">
        <v>337</v>
      </c>
    </row>
    <row r="31" customFormat="false" ht="15" hidden="false" customHeight="false" outlineLevel="0" collapsed="false">
      <c r="A31" s="11" t="s">
        <v>253</v>
      </c>
      <c r="B31" s="14" t="n">
        <v>46101</v>
      </c>
      <c r="C31" s="11" t="s">
        <v>162</v>
      </c>
      <c r="D31" s="11" t="s">
        <v>324</v>
      </c>
      <c r="E31" s="33" t="n">
        <v>0</v>
      </c>
      <c r="F31" s="34" t="n">
        <f aca="false">ROUND(securities!E31*100,2)</f>
        <v>2</v>
      </c>
      <c r="G31" s="11" t="s">
        <v>338</v>
      </c>
    </row>
    <row r="32" customFormat="false" ht="15" hidden="false" customHeight="false" outlineLevel="0" collapsed="false">
      <c r="A32" s="11" t="s">
        <v>255</v>
      </c>
      <c r="B32" s="14" t="n">
        <v>46101</v>
      </c>
      <c r="C32" s="11" t="s">
        <v>167</v>
      </c>
      <c r="D32" s="11" t="s">
        <v>324</v>
      </c>
      <c r="E32" s="33" t="n">
        <v>0</v>
      </c>
      <c r="F32" s="34" t="n">
        <f aca="false">ROUND(securities!E32*100,2)</f>
        <v>2</v>
      </c>
      <c r="G32" s="11" t="s">
        <v>339</v>
      </c>
    </row>
    <row r="33" customFormat="false" ht="15" hidden="false" customHeight="false" outlineLevel="0" collapsed="false">
      <c r="A33" s="11" t="s">
        <v>257</v>
      </c>
      <c r="B33" s="14" t="n">
        <v>46101</v>
      </c>
      <c r="C33" s="11" t="s">
        <v>173</v>
      </c>
      <c r="D33" s="11" t="s">
        <v>324</v>
      </c>
      <c r="E33" s="33" t="n">
        <v>0</v>
      </c>
      <c r="F33" s="34" t="n">
        <f aca="false">ROUND(securities!E33*100,2)</f>
        <v>0</v>
      </c>
      <c r="G33" s="11" t="s">
        <v>339</v>
      </c>
    </row>
    <row r="34" customFormat="false" ht="15" hidden="false" customHeight="false" outlineLevel="0" collapsed="false">
      <c r="A34" s="11" t="s">
        <v>259</v>
      </c>
      <c r="B34" s="14" t="n">
        <v>46101</v>
      </c>
      <c r="C34" s="11" t="s">
        <v>177</v>
      </c>
      <c r="D34" s="11" t="s">
        <v>324</v>
      </c>
      <c r="E34" s="33" t="n">
        <v>0</v>
      </c>
      <c r="F34" s="34" t="n">
        <f aca="false">ROUND(securities!E34*100,2)</f>
        <v>0</v>
      </c>
      <c r="G34" s="11" t="s">
        <v>339</v>
      </c>
    </row>
    <row r="35" customFormat="false" ht="15" hidden="false" customHeight="false" outlineLevel="0" collapsed="false">
      <c r="A35" s="11" t="s">
        <v>261</v>
      </c>
      <c r="B35" s="14" t="n">
        <v>46101</v>
      </c>
      <c r="C35" s="11" t="s">
        <v>179</v>
      </c>
      <c r="D35" s="11" t="s">
        <v>324</v>
      </c>
      <c r="E35" s="33" t="n">
        <v>0</v>
      </c>
      <c r="F35" s="34" t="n">
        <f aca="false">ROUND(securities!E35*100,2)</f>
        <v>0</v>
      </c>
      <c r="G35" s="11" t="s">
        <v>339</v>
      </c>
    </row>
    <row r="36" customFormat="false" ht="15" hidden="false" customHeight="false" outlineLevel="0" collapsed="false">
      <c r="A36" s="11" t="s">
        <v>263</v>
      </c>
      <c r="B36" s="14" t="n">
        <v>46101</v>
      </c>
      <c r="C36" s="11" t="s">
        <v>181</v>
      </c>
      <c r="D36" s="11" t="s">
        <v>324</v>
      </c>
      <c r="E36" s="33" t="n">
        <v>0</v>
      </c>
      <c r="F36" s="34" t="n">
        <f aca="false">ROUND(securities!E36*100,2)</f>
        <v>0</v>
      </c>
      <c r="G36" s="11"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13"/>
    <col collapsed="false" customWidth="true" hidden="false" outlineLevel="0" max="4" min="4" style="0" width="28"/>
    <col collapsed="false" customWidth="true" hidden="false" outlineLevel="0" max="5" min="5" style="0" width="140"/>
  </cols>
  <sheetData>
    <row r="1" customFormat="false" ht="15" hidden="false" customHeight="false" outlineLevel="0" collapsed="false">
      <c r="A1" s="10" t="s">
        <v>340</v>
      </c>
      <c r="B1" s="10" t="s">
        <v>36</v>
      </c>
      <c r="C1" s="10" t="s">
        <v>341</v>
      </c>
      <c r="D1" s="10" t="s">
        <v>342</v>
      </c>
      <c r="E1" s="10" t="s">
        <v>343</v>
      </c>
    </row>
    <row r="2" customFormat="false" ht="79.85" hidden="false" customHeight="false" outlineLevel="0" collapsed="false">
      <c r="A2" s="7" t="s">
        <v>344</v>
      </c>
      <c r="B2" s="7" t="s">
        <v>344</v>
      </c>
      <c r="C2" s="27" t="n">
        <v>46097</v>
      </c>
      <c r="D2" s="7" t="s">
        <v>345</v>
      </c>
      <c r="E2" s="2" t="s">
        <v>346</v>
      </c>
    </row>
    <row r="3" customFormat="false" ht="158.2" hidden="false" customHeight="false" outlineLevel="0" collapsed="false">
      <c r="A3" s="7" t="s">
        <v>344</v>
      </c>
      <c r="B3" s="7" t="s">
        <v>344</v>
      </c>
      <c r="C3" s="27" t="n">
        <v>46097</v>
      </c>
      <c r="D3" s="7" t="s">
        <v>345</v>
      </c>
      <c r="E3" s="2" t="s">
        <v>347</v>
      </c>
    </row>
    <row r="4" customFormat="false" ht="23.85" hidden="false" customHeight="false" outlineLevel="0" collapsed="false">
      <c r="A4" s="7" t="s">
        <v>344</v>
      </c>
      <c r="B4" s="7" t="s">
        <v>344</v>
      </c>
      <c r="C4" s="27" t="n">
        <v>46097</v>
      </c>
      <c r="D4" s="7" t="s">
        <v>345</v>
      </c>
      <c r="E4" s="2" t="s">
        <v>348</v>
      </c>
    </row>
    <row r="5" customFormat="false" ht="35.05" hidden="false" customHeight="false" outlineLevel="0" collapsed="false">
      <c r="A5" s="7" t="s">
        <v>344</v>
      </c>
      <c r="B5" s="7" t="s">
        <v>344</v>
      </c>
      <c r="C5" s="27" t="n">
        <v>46097</v>
      </c>
      <c r="D5" s="7" t="s">
        <v>349</v>
      </c>
      <c r="E5" s="2" t="s">
        <v>350</v>
      </c>
    </row>
    <row r="6" customFormat="false" ht="23.85" hidden="false" customHeight="false" outlineLevel="0" collapsed="false">
      <c r="A6" s="7" t="s">
        <v>344</v>
      </c>
      <c r="B6" s="7" t="s">
        <v>344</v>
      </c>
      <c r="C6" s="27" t="n">
        <v>46097</v>
      </c>
      <c r="D6" s="7" t="s">
        <v>349</v>
      </c>
      <c r="E6" s="2" t="s">
        <v>351</v>
      </c>
    </row>
    <row r="7" customFormat="false" ht="35.05" hidden="false" customHeight="false" outlineLevel="0" collapsed="false">
      <c r="A7" s="7" t="s">
        <v>344</v>
      </c>
      <c r="B7" s="7" t="s">
        <v>344</v>
      </c>
      <c r="C7" s="27" t="n">
        <v>46097</v>
      </c>
      <c r="D7" s="7" t="s">
        <v>349</v>
      </c>
      <c r="E7" s="2" t="s">
        <v>352</v>
      </c>
    </row>
    <row r="8" customFormat="false" ht="15" hidden="false" customHeight="false" outlineLevel="0" collapsed="false">
      <c r="A8" s="7" t="s">
        <v>344</v>
      </c>
      <c r="B8" s="7" t="s">
        <v>344</v>
      </c>
      <c r="C8" s="27" t="n">
        <v>46097</v>
      </c>
      <c r="D8" s="7" t="s">
        <v>353</v>
      </c>
      <c r="E8" s="2" t="s">
        <v>354</v>
      </c>
    </row>
    <row r="9" customFormat="false" ht="35.05" hidden="false" customHeight="false" outlineLevel="0" collapsed="false">
      <c r="A9" s="7" t="s">
        <v>69</v>
      </c>
      <c r="B9" s="7" t="s">
        <v>68</v>
      </c>
      <c r="C9" s="27" t="n">
        <v>46092</v>
      </c>
      <c r="D9" s="7" t="s">
        <v>345</v>
      </c>
      <c r="E9" s="2" t="s">
        <v>355</v>
      </c>
    </row>
    <row r="10" customFormat="false" ht="46.25" hidden="false" customHeight="false" outlineLevel="0" collapsed="false">
      <c r="A10" s="7" t="s">
        <v>69</v>
      </c>
      <c r="B10" s="7" t="s">
        <v>68</v>
      </c>
      <c r="C10" s="27" t="n">
        <v>46092</v>
      </c>
      <c r="D10" s="7" t="s">
        <v>345</v>
      </c>
      <c r="E10" s="2" t="s">
        <v>356</v>
      </c>
    </row>
    <row r="11" customFormat="false" ht="23.85" hidden="false" customHeight="false" outlineLevel="0" collapsed="false">
      <c r="A11" s="7" t="s">
        <v>69</v>
      </c>
      <c r="B11" s="7" t="s">
        <v>68</v>
      </c>
      <c r="C11" s="27" t="n">
        <v>46092</v>
      </c>
      <c r="D11" s="7" t="s">
        <v>345</v>
      </c>
      <c r="E11" s="2" t="s">
        <v>357</v>
      </c>
    </row>
    <row r="12" customFormat="false" ht="35.05" hidden="false" customHeight="false" outlineLevel="0" collapsed="false">
      <c r="A12" s="7" t="s">
        <v>69</v>
      </c>
      <c r="B12" s="7" t="s">
        <v>68</v>
      </c>
      <c r="C12" s="27" t="n">
        <v>46092</v>
      </c>
      <c r="D12" s="7" t="s">
        <v>345</v>
      </c>
      <c r="E12" s="2" t="s">
        <v>358</v>
      </c>
    </row>
    <row r="13" customFormat="false" ht="15" hidden="false" customHeight="false" outlineLevel="0" collapsed="false">
      <c r="A13" s="7" t="s">
        <v>69</v>
      </c>
      <c r="B13" s="7" t="s">
        <v>68</v>
      </c>
      <c r="C13" s="27" t="n">
        <v>46092</v>
      </c>
      <c r="D13" s="7" t="s">
        <v>349</v>
      </c>
      <c r="E13" s="2" t="s">
        <v>359</v>
      </c>
    </row>
    <row r="14" customFormat="false" ht="23.85" hidden="false" customHeight="false" outlineLevel="0" collapsed="false">
      <c r="A14" s="7" t="s">
        <v>69</v>
      </c>
      <c r="B14" s="7" t="s">
        <v>68</v>
      </c>
      <c r="C14" s="27" t="n">
        <v>46092</v>
      </c>
      <c r="D14" s="7" t="s">
        <v>349</v>
      </c>
      <c r="E14" s="2" t="s">
        <v>360</v>
      </c>
    </row>
    <row r="15" customFormat="false" ht="15" hidden="false" customHeight="false" outlineLevel="0" collapsed="false">
      <c r="A15" s="7" t="s">
        <v>69</v>
      </c>
      <c r="B15" s="7" t="s">
        <v>68</v>
      </c>
      <c r="C15" s="27" t="n">
        <v>46092</v>
      </c>
      <c r="D15" s="7" t="s">
        <v>349</v>
      </c>
      <c r="E15" s="2" t="s">
        <v>361</v>
      </c>
    </row>
    <row r="16" customFormat="false" ht="15" hidden="false" customHeight="false" outlineLevel="0" collapsed="false">
      <c r="A16" s="7" t="s">
        <v>69</v>
      </c>
      <c r="B16" s="7" t="s">
        <v>68</v>
      </c>
      <c r="C16" s="27" t="n">
        <v>46092</v>
      </c>
      <c r="D16" s="7" t="s">
        <v>353</v>
      </c>
      <c r="E16" s="2" t="s">
        <v>362</v>
      </c>
    </row>
    <row r="17" customFormat="false" ht="15" hidden="false" customHeight="false" outlineLevel="0" collapsed="false">
      <c r="A17" s="7" t="s">
        <v>69</v>
      </c>
      <c r="B17" s="7" t="s">
        <v>68</v>
      </c>
      <c r="C17" s="27" t="n">
        <v>46092</v>
      </c>
      <c r="D17" s="7" t="s">
        <v>363</v>
      </c>
      <c r="E17" s="2" t="s">
        <v>364</v>
      </c>
    </row>
    <row r="18" customFormat="false" ht="68.65" hidden="false" customHeight="false" outlineLevel="0" collapsed="false">
      <c r="A18" s="7" t="s">
        <v>69</v>
      </c>
      <c r="B18" s="7" t="s">
        <v>68</v>
      </c>
      <c r="C18" s="27" t="n">
        <v>46092</v>
      </c>
      <c r="D18" s="7" t="s">
        <v>363</v>
      </c>
      <c r="E18" s="2" t="s">
        <v>365</v>
      </c>
    </row>
    <row r="19" customFormat="false" ht="113.4" hidden="false" customHeight="false" outlineLevel="0" collapsed="false">
      <c r="A19" s="7" t="s">
        <v>77</v>
      </c>
      <c r="B19" s="7" t="s">
        <v>366</v>
      </c>
      <c r="C19" s="27" t="n">
        <v>46094</v>
      </c>
      <c r="D19" s="7" t="s">
        <v>345</v>
      </c>
      <c r="E19" s="2" t="s">
        <v>367</v>
      </c>
    </row>
    <row r="20" customFormat="false" ht="124.6" hidden="false" customHeight="false" outlineLevel="0" collapsed="false">
      <c r="A20" s="7" t="s">
        <v>77</v>
      </c>
      <c r="B20" s="7" t="s">
        <v>366</v>
      </c>
      <c r="C20" s="27" t="n">
        <v>46094</v>
      </c>
      <c r="D20" s="7" t="s">
        <v>345</v>
      </c>
      <c r="E20" s="2" t="s">
        <v>368</v>
      </c>
    </row>
    <row r="21" customFormat="false" ht="147" hidden="false" customHeight="false" outlineLevel="0" collapsed="false">
      <c r="A21" s="7" t="s">
        <v>77</v>
      </c>
      <c r="B21" s="7" t="s">
        <v>366</v>
      </c>
      <c r="C21" s="27" t="n">
        <v>46094</v>
      </c>
      <c r="D21" s="7" t="s">
        <v>345</v>
      </c>
      <c r="E21" s="2" t="s">
        <v>369</v>
      </c>
    </row>
    <row r="22" customFormat="false" ht="113.4" hidden="false" customHeight="false" outlineLevel="0" collapsed="false">
      <c r="A22" s="7" t="s">
        <v>77</v>
      </c>
      <c r="B22" s="7" t="s">
        <v>366</v>
      </c>
      <c r="C22" s="27" t="n">
        <v>46094</v>
      </c>
      <c r="D22" s="7" t="s">
        <v>345</v>
      </c>
      <c r="E22" s="2" t="s">
        <v>370</v>
      </c>
    </row>
    <row r="23" customFormat="false" ht="15" hidden="false" customHeight="false" outlineLevel="0" collapsed="false">
      <c r="A23" s="7" t="s">
        <v>77</v>
      </c>
      <c r="B23" s="7" t="s">
        <v>366</v>
      </c>
      <c r="C23" s="27" t="n">
        <v>46094</v>
      </c>
      <c r="D23" s="7" t="s">
        <v>349</v>
      </c>
      <c r="E23" s="2" t="s">
        <v>371</v>
      </c>
    </row>
    <row r="24" customFormat="false" ht="15" hidden="false" customHeight="false" outlineLevel="0" collapsed="false">
      <c r="A24" s="7" t="s">
        <v>77</v>
      </c>
      <c r="B24" s="7" t="s">
        <v>366</v>
      </c>
      <c r="C24" s="27" t="n">
        <v>46094</v>
      </c>
      <c r="D24" s="7" t="s">
        <v>349</v>
      </c>
      <c r="E24" s="2" t="s">
        <v>372</v>
      </c>
    </row>
    <row r="25" customFormat="false" ht="15" hidden="false" customHeight="false" outlineLevel="0" collapsed="false">
      <c r="A25" s="7" t="s">
        <v>77</v>
      </c>
      <c r="B25" s="7" t="s">
        <v>366</v>
      </c>
      <c r="C25" s="27" t="n">
        <v>46094</v>
      </c>
      <c r="D25" s="7" t="s">
        <v>349</v>
      </c>
      <c r="E25" s="2" t="s">
        <v>373</v>
      </c>
    </row>
    <row r="26" customFormat="false" ht="15" hidden="false" customHeight="false" outlineLevel="0" collapsed="false">
      <c r="A26" s="7" t="s">
        <v>77</v>
      </c>
      <c r="B26" s="7" t="s">
        <v>366</v>
      </c>
      <c r="C26" s="27" t="n">
        <v>46094</v>
      </c>
      <c r="D26" s="7" t="s">
        <v>349</v>
      </c>
      <c r="E26" s="2" t="s">
        <v>374</v>
      </c>
    </row>
    <row r="27" customFormat="false" ht="15" hidden="false" customHeight="false" outlineLevel="0" collapsed="false">
      <c r="A27" s="7" t="s">
        <v>77</v>
      </c>
      <c r="B27" s="7" t="s">
        <v>366</v>
      </c>
      <c r="C27" s="27" t="n">
        <v>46094</v>
      </c>
      <c r="D27" s="7" t="s">
        <v>349</v>
      </c>
      <c r="E27" s="2" t="s">
        <v>375</v>
      </c>
    </row>
    <row r="28" customFormat="false" ht="15" hidden="false" customHeight="false" outlineLevel="0" collapsed="false">
      <c r="A28" s="7" t="s">
        <v>77</v>
      </c>
      <c r="B28" s="7" t="s">
        <v>366</v>
      </c>
      <c r="C28" s="27" t="n">
        <v>46094</v>
      </c>
      <c r="D28" s="7" t="s">
        <v>353</v>
      </c>
      <c r="E28" s="2" t="s">
        <v>376</v>
      </c>
    </row>
    <row r="29" customFormat="false" ht="15" hidden="false" customHeight="false" outlineLevel="0" collapsed="false">
      <c r="A29" s="7" t="s">
        <v>77</v>
      </c>
      <c r="B29" s="7" t="s">
        <v>366</v>
      </c>
      <c r="C29" s="27" t="n">
        <v>46094</v>
      </c>
      <c r="D29" s="7" t="s">
        <v>363</v>
      </c>
      <c r="E29" s="2" t="s">
        <v>377</v>
      </c>
    </row>
    <row r="30" customFormat="false" ht="23.85" hidden="false" customHeight="false" outlineLevel="0" collapsed="false">
      <c r="A30" s="7" t="s">
        <v>77</v>
      </c>
      <c r="B30" s="7" t="s">
        <v>366</v>
      </c>
      <c r="C30" s="27" t="n">
        <v>46094</v>
      </c>
      <c r="D30" s="7" t="s">
        <v>363</v>
      </c>
      <c r="E30" s="2" t="s">
        <v>378</v>
      </c>
    </row>
    <row r="31" customFormat="false" ht="35.05" hidden="false" customHeight="false" outlineLevel="0" collapsed="false">
      <c r="A31" s="7" t="s">
        <v>379</v>
      </c>
      <c r="B31" s="7" t="s">
        <v>379</v>
      </c>
      <c r="D31" s="7" t="s">
        <v>345</v>
      </c>
      <c r="E31" s="2" t="s">
        <v>380</v>
      </c>
    </row>
    <row r="32" customFormat="false" ht="46.25" hidden="false" customHeight="false" outlineLevel="0" collapsed="false">
      <c r="A32" s="7" t="s">
        <v>379</v>
      </c>
      <c r="B32" s="7" t="s">
        <v>379</v>
      </c>
      <c r="D32" s="7" t="s">
        <v>345</v>
      </c>
      <c r="E32" s="2" t="s">
        <v>381</v>
      </c>
    </row>
    <row r="33" customFormat="false" ht="23.85" hidden="false" customHeight="false" outlineLevel="0" collapsed="false">
      <c r="A33" s="7" t="s">
        <v>379</v>
      </c>
      <c r="B33" s="7" t="s">
        <v>379</v>
      </c>
      <c r="D33" s="7" t="s">
        <v>345</v>
      </c>
      <c r="E33" s="2" t="s">
        <v>382</v>
      </c>
    </row>
    <row r="34" customFormat="false" ht="35.05" hidden="false" customHeight="false" outlineLevel="0" collapsed="false">
      <c r="A34" s="7" t="s">
        <v>379</v>
      </c>
      <c r="B34" s="7" t="s">
        <v>379</v>
      </c>
      <c r="D34" s="7" t="s">
        <v>345</v>
      </c>
      <c r="E34" s="2" t="s">
        <v>383</v>
      </c>
    </row>
    <row r="35" customFormat="false" ht="15" hidden="false" customHeight="false" outlineLevel="0" collapsed="false">
      <c r="A35" s="7" t="s">
        <v>379</v>
      </c>
      <c r="B35" s="7" t="s">
        <v>379</v>
      </c>
      <c r="D35" s="7" t="s">
        <v>349</v>
      </c>
      <c r="E35" s="2" t="s">
        <v>384</v>
      </c>
    </row>
    <row r="36" customFormat="false" ht="15" hidden="false" customHeight="false" outlineLevel="0" collapsed="false">
      <c r="A36" s="7" t="s">
        <v>379</v>
      </c>
      <c r="B36" s="7" t="s">
        <v>379</v>
      </c>
      <c r="D36" s="7" t="s">
        <v>349</v>
      </c>
      <c r="E36" s="2" t="s">
        <v>385</v>
      </c>
    </row>
    <row r="37" customFormat="false" ht="15" hidden="false" customHeight="false" outlineLevel="0" collapsed="false">
      <c r="A37" s="7" t="s">
        <v>379</v>
      </c>
      <c r="B37" s="7" t="s">
        <v>379</v>
      </c>
      <c r="D37" s="7" t="s">
        <v>349</v>
      </c>
      <c r="E37" s="2" t="s">
        <v>386</v>
      </c>
    </row>
    <row r="38" customFormat="false" ht="15" hidden="false" customHeight="false" outlineLevel="0" collapsed="false">
      <c r="A38" s="7" t="s">
        <v>379</v>
      </c>
      <c r="B38" s="7" t="s">
        <v>379</v>
      </c>
      <c r="D38" s="7" t="s">
        <v>353</v>
      </c>
      <c r="E38" s="2" t="s">
        <v>387</v>
      </c>
    </row>
    <row r="39" customFormat="false" ht="15" hidden="false" customHeight="false" outlineLevel="0" collapsed="false">
      <c r="A39" s="7" t="s">
        <v>379</v>
      </c>
      <c r="B39" s="7" t="s">
        <v>379</v>
      </c>
      <c r="D39" s="7" t="s">
        <v>363</v>
      </c>
      <c r="E39" s="2" t="s">
        <v>388</v>
      </c>
    </row>
    <row r="40" customFormat="false" ht="23.85" hidden="false" customHeight="false" outlineLevel="0" collapsed="false">
      <c r="A40" s="7" t="s">
        <v>379</v>
      </c>
      <c r="B40" s="7" t="s">
        <v>379</v>
      </c>
      <c r="D40" s="7" t="s">
        <v>363</v>
      </c>
      <c r="E40" s="2" t="s">
        <v>389</v>
      </c>
    </row>
    <row r="41" customFormat="false" ht="35.05" hidden="false" customHeight="false" outlineLevel="0" collapsed="false">
      <c r="A41" s="7" t="s">
        <v>390</v>
      </c>
      <c r="B41" s="7" t="s">
        <v>390</v>
      </c>
      <c r="D41" s="7" t="s">
        <v>345</v>
      </c>
      <c r="E41" s="2" t="s">
        <v>391</v>
      </c>
    </row>
    <row r="42" customFormat="false" ht="23.85" hidden="false" customHeight="false" outlineLevel="0" collapsed="false">
      <c r="A42" s="7" t="s">
        <v>390</v>
      </c>
      <c r="B42" s="7" t="s">
        <v>390</v>
      </c>
      <c r="D42" s="7" t="s">
        <v>345</v>
      </c>
      <c r="E42" s="2" t="s">
        <v>392</v>
      </c>
    </row>
    <row r="43" customFormat="false" ht="23.85" hidden="false" customHeight="false" outlineLevel="0" collapsed="false">
      <c r="A43" s="7" t="s">
        <v>390</v>
      </c>
      <c r="B43" s="7" t="s">
        <v>390</v>
      </c>
      <c r="D43" s="7" t="s">
        <v>349</v>
      </c>
      <c r="E43" s="2" t="s">
        <v>393</v>
      </c>
    </row>
    <row r="44" customFormat="false" ht="23.85" hidden="false" customHeight="false" outlineLevel="0" collapsed="false">
      <c r="A44" s="7" t="s">
        <v>390</v>
      </c>
      <c r="B44" s="7" t="s">
        <v>390</v>
      </c>
      <c r="D44" s="7" t="s">
        <v>349</v>
      </c>
      <c r="E44" s="2" t="s">
        <v>394</v>
      </c>
    </row>
    <row r="45" customFormat="false" ht="15" hidden="false" customHeight="false" outlineLevel="0" collapsed="false">
      <c r="A45" s="7" t="s">
        <v>390</v>
      </c>
      <c r="B45" s="7" t="s">
        <v>390</v>
      </c>
      <c r="D45" s="7" t="s">
        <v>353</v>
      </c>
      <c r="E45" s="2" t="s">
        <v>387</v>
      </c>
    </row>
    <row r="46" customFormat="false" ht="35.05" hidden="false" customHeight="false" outlineLevel="0" collapsed="false">
      <c r="A46" s="7" t="s">
        <v>106</v>
      </c>
      <c r="B46" s="7" t="s">
        <v>106</v>
      </c>
      <c r="D46" s="7" t="s">
        <v>345</v>
      </c>
      <c r="E46" s="2" t="s">
        <v>395</v>
      </c>
    </row>
    <row r="47" customFormat="false" ht="23.85" hidden="false" customHeight="false" outlineLevel="0" collapsed="false">
      <c r="A47" s="7" t="s">
        <v>106</v>
      </c>
      <c r="B47" s="7" t="s">
        <v>106</v>
      </c>
      <c r="D47" s="7" t="s">
        <v>345</v>
      </c>
      <c r="E47" s="2" t="s">
        <v>396</v>
      </c>
    </row>
    <row r="48" customFormat="false" ht="35.05" hidden="false" customHeight="false" outlineLevel="0" collapsed="false">
      <c r="A48" s="7" t="s">
        <v>106</v>
      </c>
      <c r="B48" s="7" t="s">
        <v>106</v>
      </c>
      <c r="D48" s="7" t="s">
        <v>345</v>
      </c>
      <c r="E48" s="2" t="s">
        <v>397</v>
      </c>
    </row>
    <row r="49" customFormat="false" ht="35.05" hidden="false" customHeight="false" outlineLevel="0" collapsed="false">
      <c r="A49" s="7" t="s">
        <v>106</v>
      </c>
      <c r="B49" s="7" t="s">
        <v>106</v>
      </c>
      <c r="D49" s="7" t="s">
        <v>349</v>
      </c>
      <c r="E49" s="2" t="s">
        <v>398</v>
      </c>
    </row>
    <row r="50" customFormat="false" ht="35.05" hidden="false" customHeight="false" outlineLevel="0" collapsed="false">
      <c r="A50" s="7" t="s">
        <v>106</v>
      </c>
      <c r="B50" s="7" t="s">
        <v>106</v>
      </c>
      <c r="D50" s="7" t="s">
        <v>349</v>
      </c>
      <c r="E50" s="2" t="s">
        <v>399</v>
      </c>
    </row>
    <row r="51" customFormat="false" ht="23.85" hidden="false" customHeight="false" outlineLevel="0" collapsed="false">
      <c r="A51" s="7" t="s">
        <v>106</v>
      </c>
      <c r="B51" s="7" t="s">
        <v>106</v>
      </c>
      <c r="D51" s="7" t="s">
        <v>349</v>
      </c>
      <c r="E51" s="2" t="s">
        <v>400</v>
      </c>
    </row>
    <row r="52" customFormat="false" ht="15" hidden="false" customHeight="false" outlineLevel="0" collapsed="false">
      <c r="A52" s="7" t="s">
        <v>106</v>
      </c>
      <c r="B52" s="7" t="s">
        <v>106</v>
      </c>
      <c r="D52" s="7" t="s">
        <v>353</v>
      </c>
      <c r="E52" s="2" t="s">
        <v>401</v>
      </c>
    </row>
    <row r="53" customFormat="false" ht="57.45" hidden="false" customHeight="false" outlineLevel="0" collapsed="false">
      <c r="A53" s="7" t="s">
        <v>111</v>
      </c>
      <c r="B53" s="7" t="s">
        <v>111</v>
      </c>
      <c r="D53" s="7" t="s">
        <v>345</v>
      </c>
      <c r="E53" s="2" t="s">
        <v>402</v>
      </c>
    </row>
    <row r="54" customFormat="false" ht="35.05" hidden="false" customHeight="false" outlineLevel="0" collapsed="false">
      <c r="A54" s="7" t="s">
        <v>111</v>
      </c>
      <c r="B54" s="7" t="s">
        <v>111</v>
      </c>
      <c r="D54" s="7" t="s">
        <v>345</v>
      </c>
      <c r="E54" s="2" t="s">
        <v>403</v>
      </c>
    </row>
    <row r="55" customFormat="false" ht="23.85" hidden="false" customHeight="false" outlineLevel="0" collapsed="false">
      <c r="A55" s="7" t="s">
        <v>111</v>
      </c>
      <c r="B55" s="7" t="s">
        <v>111</v>
      </c>
      <c r="D55" s="7" t="s">
        <v>349</v>
      </c>
      <c r="E55" s="2" t="s">
        <v>404</v>
      </c>
    </row>
    <row r="56" customFormat="false" ht="23.85" hidden="false" customHeight="false" outlineLevel="0" collapsed="false">
      <c r="A56" s="7" t="s">
        <v>111</v>
      </c>
      <c r="B56" s="7" t="s">
        <v>111</v>
      </c>
      <c r="D56" s="7" t="s">
        <v>349</v>
      </c>
      <c r="E56" s="2" t="s">
        <v>405</v>
      </c>
    </row>
    <row r="57" customFormat="false" ht="23.85" hidden="false" customHeight="false" outlineLevel="0" collapsed="false">
      <c r="A57" s="7" t="s">
        <v>111</v>
      </c>
      <c r="B57" s="7" t="s">
        <v>111</v>
      </c>
      <c r="D57" s="7" t="s">
        <v>349</v>
      </c>
      <c r="E57" s="2" t="s">
        <v>406</v>
      </c>
    </row>
    <row r="58" customFormat="false" ht="15" hidden="false" customHeight="false" outlineLevel="0" collapsed="false">
      <c r="A58" s="7" t="s">
        <v>111</v>
      </c>
      <c r="B58" s="7" t="s">
        <v>111</v>
      </c>
      <c r="D58" s="7" t="s">
        <v>353</v>
      </c>
      <c r="E58" s="2" t="s">
        <v>407</v>
      </c>
    </row>
    <row r="59" customFormat="false" ht="46.25" hidden="false" customHeight="false" outlineLevel="0" collapsed="false">
      <c r="A59" s="7" t="s">
        <v>124</v>
      </c>
      <c r="B59" s="7" t="s">
        <v>124</v>
      </c>
      <c r="D59" s="7" t="s">
        <v>345</v>
      </c>
      <c r="E59" s="2" t="s">
        <v>408</v>
      </c>
    </row>
    <row r="60" customFormat="false" ht="23.85" hidden="false" customHeight="false" outlineLevel="0" collapsed="false">
      <c r="A60" s="7" t="s">
        <v>124</v>
      </c>
      <c r="B60" s="7" t="s">
        <v>124</v>
      </c>
      <c r="D60" s="7" t="s">
        <v>345</v>
      </c>
      <c r="E60" s="2" t="s">
        <v>409</v>
      </c>
    </row>
    <row r="61" customFormat="false" ht="23.85" hidden="false" customHeight="false" outlineLevel="0" collapsed="false">
      <c r="A61" s="7" t="s">
        <v>124</v>
      </c>
      <c r="B61" s="7" t="s">
        <v>124</v>
      </c>
      <c r="D61" s="7" t="s">
        <v>349</v>
      </c>
      <c r="E61" s="2" t="s">
        <v>410</v>
      </c>
    </row>
    <row r="62" customFormat="false" ht="23.85" hidden="false" customHeight="false" outlineLevel="0" collapsed="false">
      <c r="A62" s="7" t="s">
        <v>124</v>
      </c>
      <c r="B62" s="7" t="s">
        <v>124</v>
      </c>
      <c r="D62" s="7" t="s">
        <v>349</v>
      </c>
      <c r="E62" s="2" t="s">
        <v>411</v>
      </c>
    </row>
    <row r="63" customFormat="false" ht="15" hidden="false" customHeight="false" outlineLevel="0" collapsed="false">
      <c r="A63" s="7" t="s">
        <v>124</v>
      </c>
      <c r="B63" s="7" t="s">
        <v>124</v>
      </c>
      <c r="D63" s="7" t="s">
        <v>353</v>
      </c>
      <c r="E63" s="2" t="s">
        <v>412</v>
      </c>
    </row>
    <row r="64" customFormat="false" ht="23.85" hidden="false" customHeight="false" outlineLevel="0" collapsed="false">
      <c r="A64" s="7" t="s">
        <v>128</v>
      </c>
      <c r="B64" s="7" t="s">
        <v>128</v>
      </c>
      <c r="D64" s="7" t="s">
        <v>345</v>
      </c>
      <c r="E64" s="2" t="s">
        <v>413</v>
      </c>
    </row>
    <row r="65" customFormat="false" ht="35.05" hidden="false" customHeight="false" outlineLevel="0" collapsed="false">
      <c r="A65" s="7" t="s">
        <v>128</v>
      </c>
      <c r="B65" s="7" t="s">
        <v>128</v>
      </c>
      <c r="D65" s="7" t="s">
        <v>345</v>
      </c>
      <c r="E65" s="2" t="s">
        <v>414</v>
      </c>
    </row>
    <row r="66" customFormat="false" ht="23.85" hidden="false" customHeight="false" outlineLevel="0" collapsed="false">
      <c r="A66" s="7" t="s">
        <v>128</v>
      </c>
      <c r="B66" s="7" t="s">
        <v>128</v>
      </c>
      <c r="D66" s="7" t="s">
        <v>345</v>
      </c>
      <c r="E66" s="2" t="s">
        <v>415</v>
      </c>
    </row>
    <row r="67" customFormat="false" ht="35.05" hidden="false" customHeight="false" outlineLevel="0" collapsed="false">
      <c r="A67" s="7" t="s">
        <v>128</v>
      </c>
      <c r="B67" s="7" t="s">
        <v>128</v>
      </c>
      <c r="D67" s="7" t="s">
        <v>345</v>
      </c>
      <c r="E67" s="2" t="s">
        <v>416</v>
      </c>
    </row>
    <row r="68" customFormat="false" ht="15" hidden="false" customHeight="false" outlineLevel="0" collapsed="false">
      <c r="A68" s="7" t="s">
        <v>128</v>
      </c>
      <c r="B68" s="7" t="s">
        <v>128</v>
      </c>
      <c r="D68" s="7" t="s">
        <v>349</v>
      </c>
      <c r="E68" s="2" t="s">
        <v>417</v>
      </c>
    </row>
    <row r="69" customFormat="false" ht="23.85" hidden="false" customHeight="false" outlineLevel="0" collapsed="false">
      <c r="A69" s="7" t="s">
        <v>128</v>
      </c>
      <c r="B69" s="7" t="s">
        <v>128</v>
      </c>
      <c r="D69" s="7" t="s">
        <v>349</v>
      </c>
      <c r="E69" s="2" t="s">
        <v>418</v>
      </c>
    </row>
    <row r="70" customFormat="false" ht="15" hidden="false" customHeight="false" outlineLevel="0" collapsed="false">
      <c r="A70" s="7" t="s">
        <v>128</v>
      </c>
      <c r="B70" s="7" t="s">
        <v>128</v>
      </c>
      <c r="D70" s="7" t="s">
        <v>353</v>
      </c>
      <c r="E70" s="2" t="s">
        <v>401</v>
      </c>
    </row>
    <row r="71" customFormat="false" ht="46.25" hidden="false" customHeight="false" outlineLevel="0" collapsed="false">
      <c r="A71" s="7" t="s">
        <v>419</v>
      </c>
      <c r="B71" s="7" t="s">
        <v>419</v>
      </c>
      <c r="D71" s="7" t="s">
        <v>345</v>
      </c>
      <c r="E71" s="2" t="s">
        <v>420</v>
      </c>
    </row>
    <row r="72" customFormat="false" ht="15" hidden="false" customHeight="false" outlineLevel="0" collapsed="false">
      <c r="A72" s="7" t="s">
        <v>419</v>
      </c>
      <c r="B72" s="7" t="s">
        <v>419</v>
      </c>
      <c r="D72" s="7" t="s">
        <v>349</v>
      </c>
      <c r="E72" s="2" t="s">
        <v>421</v>
      </c>
    </row>
    <row r="73" customFormat="false" ht="15" hidden="false" customHeight="false" outlineLevel="0" collapsed="false">
      <c r="A73" s="7" t="s">
        <v>419</v>
      </c>
      <c r="B73" s="7" t="s">
        <v>419</v>
      </c>
      <c r="D73" s="7" t="s">
        <v>349</v>
      </c>
      <c r="E73" s="2" t="s">
        <v>422</v>
      </c>
    </row>
    <row r="74" customFormat="false" ht="15" hidden="false" customHeight="false" outlineLevel="0" collapsed="false">
      <c r="A74" s="7" t="s">
        <v>419</v>
      </c>
      <c r="B74" s="7" t="s">
        <v>419</v>
      </c>
      <c r="D74" s="7" t="s">
        <v>349</v>
      </c>
      <c r="E74" s="2" t="s">
        <v>423</v>
      </c>
    </row>
    <row r="75" customFormat="false" ht="15" hidden="false" customHeight="false" outlineLevel="0" collapsed="false">
      <c r="A75" s="7" t="s">
        <v>419</v>
      </c>
      <c r="B75" s="7" t="s">
        <v>419</v>
      </c>
      <c r="D75" s="7" t="s">
        <v>353</v>
      </c>
      <c r="E75" s="2" t="s">
        <v>407</v>
      </c>
    </row>
    <row r="76" customFormat="false" ht="46.25" hidden="false" customHeight="false" outlineLevel="0" collapsed="false">
      <c r="A76" s="7" t="s">
        <v>159</v>
      </c>
      <c r="B76" s="7" t="s">
        <v>159</v>
      </c>
      <c r="D76" s="7" t="s">
        <v>345</v>
      </c>
      <c r="E76" s="2" t="s">
        <v>424</v>
      </c>
    </row>
    <row r="77" customFormat="false" ht="23.85" hidden="false" customHeight="false" outlineLevel="0" collapsed="false">
      <c r="A77" s="7" t="s">
        <v>159</v>
      </c>
      <c r="B77" s="7" t="s">
        <v>159</v>
      </c>
      <c r="D77" s="7" t="s">
        <v>349</v>
      </c>
      <c r="E77" s="2" t="s">
        <v>425</v>
      </c>
    </row>
    <row r="78" customFormat="false" ht="23.85" hidden="false" customHeight="false" outlineLevel="0" collapsed="false">
      <c r="A78" s="7" t="s">
        <v>159</v>
      </c>
      <c r="B78" s="7" t="s">
        <v>159</v>
      </c>
      <c r="D78" s="7" t="s">
        <v>349</v>
      </c>
      <c r="E78" s="2" t="s">
        <v>426</v>
      </c>
    </row>
    <row r="79" customFormat="false" ht="23.85" hidden="false" customHeight="false" outlineLevel="0" collapsed="false">
      <c r="A79" s="7" t="s">
        <v>159</v>
      </c>
      <c r="B79" s="7" t="s">
        <v>159</v>
      </c>
      <c r="D79" s="7" t="s">
        <v>349</v>
      </c>
      <c r="E79" s="2" t="s">
        <v>427</v>
      </c>
    </row>
    <row r="80" customFormat="false" ht="15" hidden="false" customHeight="false" outlineLevel="0" collapsed="false">
      <c r="A80" s="7" t="s">
        <v>159</v>
      </c>
      <c r="B80" s="7" t="s">
        <v>159</v>
      </c>
      <c r="D80" s="7" t="s">
        <v>353</v>
      </c>
      <c r="E80" s="2" t="s">
        <v>412</v>
      </c>
    </row>
    <row r="81" customFormat="false" ht="35.05" hidden="false" customHeight="false" outlineLevel="0" collapsed="false">
      <c r="A81" s="7" t="s">
        <v>428</v>
      </c>
      <c r="B81" s="7" t="s">
        <v>169</v>
      </c>
      <c r="D81" s="7" t="s">
        <v>345</v>
      </c>
      <c r="E81" s="2" t="s">
        <v>429</v>
      </c>
    </row>
    <row r="82" customFormat="false" ht="35.05" hidden="false" customHeight="false" outlineLevel="0" collapsed="false">
      <c r="A82" s="7" t="s">
        <v>428</v>
      </c>
      <c r="B82" s="7" t="s">
        <v>169</v>
      </c>
      <c r="D82" s="7" t="s">
        <v>345</v>
      </c>
      <c r="E82" s="2" t="s">
        <v>430</v>
      </c>
    </row>
    <row r="83" customFormat="false" ht="23.85" hidden="false" customHeight="false" outlineLevel="0" collapsed="false">
      <c r="A83" s="7" t="s">
        <v>428</v>
      </c>
      <c r="B83" s="7" t="s">
        <v>169</v>
      </c>
      <c r="D83" s="7" t="s">
        <v>349</v>
      </c>
      <c r="E83" s="2" t="s">
        <v>431</v>
      </c>
    </row>
    <row r="84" customFormat="false" ht="23.85" hidden="false" customHeight="false" outlineLevel="0" collapsed="false">
      <c r="A84" s="7" t="s">
        <v>428</v>
      </c>
      <c r="B84" s="7" t="s">
        <v>169</v>
      </c>
      <c r="D84" s="7" t="s">
        <v>349</v>
      </c>
      <c r="E84" s="2" t="s">
        <v>432</v>
      </c>
    </row>
    <row r="85" customFormat="false" ht="15" hidden="false" customHeight="false" outlineLevel="0" collapsed="false">
      <c r="A85" s="7" t="s">
        <v>428</v>
      </c>
      <c r="B85" s="7" t="s">
        <v>169</v>
      </c>
      <c r="D85" s="7" t="s">
        <v>353</v>
      </c>
      <c r="E85" s="2"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2026-10-15T09:52:13Z</dcterms:created>
  <dc:creator>openpyxl</dc:creator>
  <dc:description/>
  <dc:language>en-US</dc:language>
  <cp:lastModifiedBy/>
  <dcterms:modified xsi:type="dcterms:W3CDTF">2026-10-15T09:52:13Z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